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Sol # 35\Dropbox\Fred Meiring\Embedded Dev\Hardware Designing\PCB - TrailerSocketTester v2.1\_Deliverable v2.1\BOM\"/>
    </mc:Choice>
  </mc:AlternateContent>
  <bookViews>
    <workbookView xWindow="0" yWindow="0" windowWidth="24000" windowHeight="9600"/>
  </bookViews>
  <sheets>
    <sheet name="FRED_MIERIN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1" l="1"/>
  <c r="M27" i="1"/>
  <c r="J25" i="1"/>
  <c r="J26" i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8" i="1"/>
  <c r="M30" i="1"/>
  <c r="M31" i="1"/>
  <c r="M32" i="1"/>
  <c r="M33" i="1"/>
  <c r="M34" i="1"/>
  <c r="M35" i="1"/>
  <c r="M4" i="1"/>
  <c r="B4" i="1" l="1"/>
</calcChain>
</file>

<file path=xl/sharedStrings.xml><?xml version="1.0" encoding="utf-8"?>
<sst xmlns="http://schemas.openxmlformats.org/spreadsheetml/2006/main" count="248" uniqueCount="165">
  <si>
    <t>Description</t>
  </si>
  <si>
    <t>Designator</t>
  </si>
  <si>
    <t>Quantity</t>
  </si>
  <si>
    <t>Manufacturer Part Number</t>
  </si>
  <si>
    <t>TC2030-IDC</t>
  </si>
  <si>
    <t>J1</t>
  </si>
  <si>
    <t>Tag-Connect</t>
  </si>
  <si>
    <t>0.1uF</t>
  </si>
  <si>
    <t>C1, C4, C5, C6, C8, C10, C11, C12, C13</t>
  </si>
  <si>
    <t>Yageo</t>
  </si>
  <si>
    <t>CC0603ZRY5V9BB104</t>
  </si>
  <si>
    <t>1uF</t>
  </si>
  <si>
    <t>C9</t>
  </si>
  <si>
    <t>Taiyo Yuden</t>
  </si>
  <si>
    <t>UMK107AB7105KA-T</t>
  </si>
  <si>
    <t>4.7uF</t>
  </si>
  <si>
    <t>C2</t>
  </si>
  <si>
    <t>Murata</t>
  </si>
  <si>
    <t>GRM188R61E475KE11D</t>
  </si>
  <si>
    <t>10uF</t>
  </si>
  <si>
    <t>C3, C7</t>
  </si>
  <si>
    <t>TDK</t>
  </si>
  <si>
    <t>C1608X5R1E106M080AC</t>
  </si>
  <si>
    <t>J3</t>
  </si>
  <si>
    <t>10118192-0001LF</t>
  </si>
  <si>
    <t>USB1</t>
  </si>
  <si>
    <t>AMPHENOL ICC (FCI)</t>
  </si>
  <si>
    <t>TPS63031DSKR</t>
  </si>
  <si>
    <t>U1</t>
  </si>
  <si>
    <t>MBR120VLSFT3G</t>
  </si>
  <si>
    <t>D22</t>
  </si>
  <si>
    <t>ON Semiconductor</t>
  </si>
  <si>
    <t>MM3Z3V3B</t>
  </si>
  <si>
    <t>D1, D2, D3, D4, D5, D6, D7, D8, D9</t>
  </si>
  <si>
    <t>NR6028T1R5N</t>
  </si>
  <si>
    <t>L1</t>
  </si>
  <si>
    <t>BQ21040DBVR</t>
  </si>
  <si>
    <t>IC BAT CHG LI-ION 1 CELL SOT23-6</t>
  </si>
  <si>
    <t>U2</t>
  </si>
  <si>
    <t>Texas Instruments</t>
  </si>
  <si>
    <t>APT1608QBC/D</t>
  </si>
  <si>
    <t>LED1, LED2</t>
  </si>
  <si>
    <t>Kingbright</t>
  </si>
  <si>
    <t>DMP2045U-7</t>
  </si>
  <si>
    <t>Q3</t>
  </si>
  <si>
    <t>SOT23-3</t>
  </si>
  <si>
    <t>PC3H712NIP1H</t>
  </si>
  <si>
    <t>U4, U5, U6, U7, U8, U9, U10, U11, U12</t>
  </si>
  <si>
    <t>3.3K</t>
  </si>
  <si>
    <t>R3, R9, R10, R11, R12, R14, R15, R16, R17</t>
  </si>
  <si>
    <t>RC0603FR-073K3L</t>
  </si>
  <si>
    <t>10K</t>
  </si>
  <si>
    <t>R19</t>
  </si>
  <si>
    <t>RT0805BRB0710KL</t>
  </si>
  <si>
    <t>R2, R4, R5</t>
  </si>
  <si>
    <t>RC0603FR-0710KL</t>
  </si>
  <si>
    <t>100K</t>
  </si>
  <si>
    <t>R44</t>
  </si>
  <si>
    <t>RT0603BRD07100KL</t>
  </si>
  <si>
    <t>120R</t>
  </si>
  <si>
    <t>R35, R36, R37, R38, R39, R40, R41</t>
  </si>
  <si>
    <t>3522120RJT</t>
  </si>
  <si>
    <t>133K</t>
  </si>
  <si>
    <t>R33</t>
  </si>
  <si>
    <t>RC0603FR-07133KL</t>
  </si>
  <si>
    <t>200R</t>
  </si>
  <si>
    <t>R20, R21, R23, R24, R25, R26, R28, R29, R30</t>
  </si>
  <si>
    <t>RT0603DRD07200RL</t>
  </si>
  <si>
    <t>330R</t>
  </si>
  <si>
    <t>R1L, R2L</t>
  </si>
  <si>
    <t>RC0603FR-07330RL</t>
  </si>
  <si>
    <t>390R</t>
  </si>
  <si>
    <t>R6, R7, R8, R13, R18, R22, R27, R31, R32</t>
  </si>
  <si>
    <t>Susumu</t>
  </si>
  <si>
    <t>HRG3216P-3900-D-T1</t>
  </si>
  <si>
    <t>R1</t>
  </si>
  <si>
    <t>ESP32-WROOM-32</t>
  </si>
  <si>
    <t>SMD MODULE, ESP32-D0WDQ6, 32MBIT</t>
  </si>
  <si>
    <t>U3</t>
  </si>
  <si>
    <t>Espressif Systems</t>
  </si>
  <si>
    <t>Socket</t>
  </si>
  <si>
    <t>T1, T2, T3, T4, T5, T6, T7, T8, T9, T10, T11, T12, T13, T14, T15, T16, T17</t>
  </si>
  <si>
    <t>49.3K</t>
  </si>
  <si>
    <t>Thin Film Resistors - SMD 1/10W 49.3K Ohms .5%</t>
  </si>
  <si>
    <t>R34</t>
  </si>
  <si>
    <t>RT0603DRE0749K3L</t>
  </si>
  <si>
    <t>MMBT2222A-7-F</t>
  </si>
  <si>
    <t>Q1, Q2</t>
  </si>
  <si>
    <t>S. No.</t>
  </si>
  <si>
    <t>Value</t>
  </si>
  <si>
    <t>CommentType</t>
  </si>
  <si>
    <t>Manufacturer</t>
  </si>
  <si>
    <t>Footprint (Package)</t>
  </si>
  <si>
    <t>Link</t>
  </si>
  <si>
    <t>Remarks</t>
  </si>
  <si>
    <t>Diode</t>
  </si>
  <si>
    <t>Resistor</t>
  </si>
  <si>
    <t>Inductor</t>
  </si>
  <si>
    <t>Connector</t>
  </si>
  <si>
    <t>IC</t>
  </si>
  <si>
    <t>Transistor</t>
  </si>
  <si>
    <t>---</t>
  </si>
  <si>
    <t>----</t>
  </si>
  <si>
    <t>Digikey</t>
  </si>
  <si>
    <t>0603 (1608 Metric)</t>
  </si>
  <si>
    <t>Diodes Incorporated</t>
  </si>
  <si>
    <t>SOD-123FL</t>
  </si>
  <si>
    <t>SOD323F</t>
  </si>
  <si>
    <t>0805 (2012 Metric) </t>
  </si>
  <si>
    <t xml:space="preserve">Yageo </t>
  </si>
  <si>
    <t>TE Connectivity Passive Product</t>
  </si>
  <si>
    <t>2512 (6432 Metric)</t>
  </si>
  <si>
    <t>1206 (3216 Metric)</t>
  </si>
  <si>
    <t>Custom(SMD)</t>
  </si>
  <si>
    <t>Through Hole(2.00mm)</t>
  </si>
  <si>
    <t>JST Sales America Inc.</t>
  </si>
  <si>
    <t>USB_Micro_B(SMD)</t>
  </si>
  <si>
    <t>SOT-23-6</t>
  </si>
  <si>
    <t>10-SON</t>
  </si>
  <si>
    <t>4-SOIC</t>
  </si>
  <si>
    <t>SHARP/Socle Technology</t>
  </si>
  <si>
    <t>Capacitor Ceramic 0.1UF 50V Y5V 0603</t>
  </si>
  <si>
    <t>Transistor NPN 40V 0.6A SMD SOT23-3</t>
  </si>
  <si>
    <t>Capacitor Ceramic 1UF 50V X7R 0603</t>
  </si>
  <si>
    <t>Capacitor Ceramic 4.7UF 25V X5R 0603</t>
  </si>
  <si>
    <t>Capacitor Ceramic 10UF 25V X5R 0603</t>
  </si>
  <si>
    <t>MOSFET P-Channel 24V SOT23</t>
  </si>
  <si>
    <t>Resistor SMD 3.3K OHM 1% 1/10W 0603</t>
  </si>
  <si>
    <t>Fixed Inductor 1.5UH 4.2A 20.8 MOHM</t>
  </si>
  <si>
    <t>Resistor SMD 10K OHM 0.1% 1/8W 0805</t>
  </si>
  <si>
    <t>Resistor SMD 10K OHM 1% 1/10W 0603</t>
  </si>
  <si>
    <t>Resistor SMD 100K OHM 0.1% 1/10W 0603</t>
  </si>
  <si>
    <t>Resistor SMD 120 OHM 5% 3W 2512</t>
  </si>
  <si>
    <t>Resistor SMD 133K OHM 1% 1/10W 0603</t>
  </si>
  <si>
    <t>Resistor SMD 200 OHM 0.5% 1/10W 0603</t>
  </si>
  <si>
    <t>Resistor SMD 330 OHM 1% 1/10W 0603</t>
  </si>
  <si>
    <t>Resistor SMD 390 OHM 0.5% 1W 1206</t>
  </si>
  <si>
    <t>Converter DC-DC 1.8V to 5.5V Non-Inv/Inv/Step Up/Step Down Single-Out 3.3V 0.8A 10-Pin 10-SON</t>
  </si>
  <si>
    <t>Bill Of Material (BOM) for FRED MEIRING</t>
  </si>
  <si>
    <t>Do Not Mount</t>
  </si>
  <si>
    <t>Diode Schottky 20V 1A SOD123FL</t>
  </si>
  <si>
    <t>Diode Zener 3.3V 200MW SOD323F</t>
  </si>
  <si>
    <t>LED Blue Clear Chip SMD</t>
  </si>
  <si>
    <t>Connector USB Micro-B Receptacle SMD R/A</t>
  </si>
  <si>
    <t>Optoisolator Transistor SMD</t>
  </si>
  <si>
    <t>Cable Adapter 6 Position</t>
  </si>
  <si>
    <t>Total Quantity</t>
  </si>
  <si>
    <t>B13B-PH-K-S(LF)(SN)</t>
  </si>
  <si>
    <t>Through Hole(2.0mm)</t>
  </si>
  <si>
    <t>CONN HEADER VERT 13POS 2MM</t>
  </si>
  <si>
    <t>CONN HEADER VERT 2POS 2MM</t>
  </si>
  <si>
    <t>B2B-PH-K-S(LF)(SN)</t>
  </si>
  <si>
    <t>Unit Price</t>
  </si>
  <si>
    <t>Total Price</t>
  </si>
  <si>
    <t>Mouser</t>
  </si>
  <si>
    <t>J2,J2#</t>
  </si>
  <si>
    <t>CONN HOUSING PH 2POS 2MM WHITE</t>
  </si>
  <si>
    <t>PHR-2</t>
  </si>
  <si>
    <t>JST Sales America Inc</t>
  </si>
  <si>
    <t>$0.10</t>
  </si>
  <si>
    <t>PHR-13</t>
  </si>
  <si>
    <t>CONN HOUSING PH 13POS 2MM WHITE</t>
  </si>
  <si>
    <t xml:space="preserve">RES SMD 665 OHM 1% 1/10W 0603 
</t>
  </si>
  <si>
    <t xml:space="preserve">RC0603FR-07665RL 
</t>
  </si>
  <si>
    <t>665R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</si>
</sst>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Fill="1" applyBorder="1"/>
    <xf numFmtId="0" fontId="0" fillId="0" borderId="0" xfId="0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7" fillId="2" borderId="4" xfId="0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1" xfId="0" quotePrefix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1" xfId="0" quotePrefix="1" applyFont="1" applyFill="1" applyBorder="1" applyAlignment="1"/>
    <xf numFmtId="0" fontId="1" fillId="0" borderId="1" xfId="1" applyFill="1" applyBorder="1" applyAlignment="1">
      <alignment horizontal="center" vertical="center"/>
    </xf>
    <xf numFmtId="0" fontId="4" fillId="0" borderId="1" xfId="1" quotePrefix="1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0" borderId="5" xfId="0" quotePrefix="1" applyFont="1" applyFill="1" applyBorder="1" applyAlignment="1"/>
    <xf numFmtId="0" fontId="4" fillId="0" borderId="5" xfId="0" quotePrefix="1" applyFont="1" applyFill="1" applyBorder="1" applyAlignment="1">
      <alignment horizontal="center" vertical="center"/>
    </xf>
    <xf numFmtId="0" fontId="4" fillId="0" borderId="5" xfId="1" quotePrefix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5" xfId="1" applyFill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0" fontId="4" fillId="0" borderId="7" xfId="0" quotePrefix="1" applyFont="1" applyFill="1" applyBorder="1"/>
    <xf numFmtId="0" fontId="4" fillId="0" borderId="7" xfId="0" quotePrefix="1" applyFont="1" applyFill="1" applyBorder="1" applyAlignment="1">
      <alignment horizontal="center" vertical="center"/>
    </xf>
    <xf numFmtId="0" fontId="4" fillId="0" borderId="7" xfId="1" quotePrefix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8" fontId="0" fillId="0" borderId="7" xfId="0" applyNumberFormat="1" applyBorder="1" applyAlignment="1">
      <alignment horizontal="center" vertical="center"/>
    </xf>
    <xf numFmtId="0" fontId="4" fillId="0" borderId="5" xfId="0" quotePrefix="1" applyFont="1" applyFill="1" applyBorder="1"/>
    <xf numFmtId="49" fontId="4" fillId="0" borderId="5" xfId="0" quotePrefix="1" applyNumberFormat="1" applyFont="1" applyFill="1" applyBorder="1" applyAlignment="1">
      <alignment horizontal="center" vertical="center"/>
    </xf>
    <xf numFmtId="49" fontId="4" fillId="0" borderId="7" xfId="0" quotePrefix="1" applyNumberFormat="1" applyFont="1" applyFill="1" applyBorder="1" applyAlignment="1">
      <alignment horizontal="center" vertical="center"/>
    </xf>
    <xf numFmtId="0" fontId="4" fillId="0" borderId="11" xfId="0" quotePrefix="1" applyFont="1" applyFill="1" applyBorder="1"/>
    <xf numFmtId="0" fontId="4" fillId="0" borderId="11" xfId="0" quotePrefix="1" applyFont="1" applyFill="1" applyBorder="1" applyAlignment="1">
      <alignment horizontal="center" vertical="center"/>
    </xf>
    <xf numFmtId="0" fontId="4" fillId="0" borderId="11" xfId="1" quotePrefix="1" applyFont="1" applyFill="1" applyBorder="1" applyAlignment="1">
      <alignment horizontal="center" vertical="center"/>
    </xf>
    <xf numFmtId="49" fontId="4" fillId="0" borderId="11" xfId="0" quotePrefix="1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left"/>
    </xf>
    <xf numFmtId="0" fontId="0" fillId="0" borderId="5" xfId="0" applyFont="1" applyFill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Border="1" applyAlignment="1">
      <alignment vertical="center"/>
    </xf>
    <xf numFmtId="0" fontId="4" fillId="0" borderId="7" xfId="0" quotePrefix="1" applyFont="1" applyFill="1" applyBorder="1" applyAlignment="1">
      <alignment horizontal="left" vertical="center"/>
    </xf>
    <xf numFmtId="0" fontId="4" fillId="0" borderId="5" xfId="0" quotePrefix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17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wrapText="1"/>
    </xf>
    <xf numFmtId="0" fontId="4" fillId="0" borderId="5" xfId="0" quotePrefix="1" applyFont="1" applyFill="1" applyBorder="1" applyAlignment="1">
      <alignment wrapText="1"/>
    </xf>
    <xf numFmtId="0" fontId="4" fillId="0" borderId="7" xfId="0" quotePrefix="1" applyFont="1" applyFill="1" applyBorder="1" applyAlignment="1">
      <alignment wrapText="1"/>
    </xf>
    <xf numFmtId="0" fontId="4" fillId="0" borderId="11" xfId="0" quotePrefix="1" applyFont="1" applyFill="1" applyBorder="1" applyAlignment="1">
      <alignment wrapText="1"/>
    </xf>
    <xf numFmtId="0" fontId="4" fillId="0" borderId="7" xfId="0" quotePrefix="1" applyFont="1" applyFill="1" applyBorder="1" applyAlignment="1">
      <alignment vertical="center" wrapText="1"/>
    </xf>
    <xf numFmtId="0" fontId="4" fillId="3" borderId="7" xfId="0" quotePrefix="1" applyFont="1" applyFill="1" applyBorder="1" applyAlignment="1">
      <alignment horizontal="center" vertical="center"/>
    </xf>
    <xf numFmtId="0" fontId="4" fillId="3" borderId="7" xfId="1" quotePrefix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8" fontId="0" fillId="3" borderId="7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8" fillId="3" borderId="5" xfId="0" quotePrefix="1" applyFont="1" applyFill="1" applyBorder="1" applyAlignment="1">
      <alignment horizontal="center" vertical="center" wrapText="1"/>
    </xf>
    <xf numFmtId="49" fontId="5" fillId="3" borderId="5" xfId="0" quotePrefix="1" applyNumberFormat="1" applyFont="1" applyFill="1" applyBorder="1" applyAlignment="1">
      <alignment horizontal="center" vertical="center"/>
    </xf>
    <xf numFmtId="0" fontId="8" fillId="3" borderId="9" xfId="0" quotePrefix="1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49" fontId="5" fillId="3" borderId="1" xfId="0" quotePrefix="1" applyNumberFormat="1" applyFont="1" applyFill="1" applyBorder="1" applyAlignment="1">
      <alignment horizontal="center" vertical="center"/>
    </xf>
    <xf numFmtId="0" fontId="8" fillId="3" borderId="18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49" fontId="1" fillId="3" borderId="1" xfId="1" quotePrefix="1" applyNumberFormat="1" applyFill="1" applyBorder="1" applyAlignment="1">
      <alignment horizontal="center" vertical="center"/>
    </xf>
    <xf numFmtId="8" fontId="0" fillId="3" borderId="1" xfId="0" applyNumberFormat="1" applyFill="1" applyBorder="1" applyAlignment="1">
      <alignment horizontal="center" vertical="center"/>
    </xf>
    <xf numFmtId="8" fontId="0" fillId="3" borderId="18" xfId="0" applyNumberForma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3" borderId="1" xfId="1" quotePrefix="1" applyFont="1" applyFill="1" applyBorder="1" applyAlignment="1">
      <alignment horizontal="center" vertical="center"/>
    </xf>
    <xf numFmtId="49" fontId="4" fillId="3" borderId="1" xfId="0" quotePrefix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wrapText="1"/>
    </xf>
    <xf numFmtId="0" fontId="4" fillId="3" borderId="1" xfId="0" quotePrefix="1" applyFont="1" applyFill="1" applyBorder="1"/>
    <xf numFmtId="0" fontId="4" fillId="3" borderId="1" xfId="0" quotePrefix="1" applyFont="1" applyFill="1" applyBorder="1" applyAlignment="1"/>
    <xf numFmtId="0" fontId="4" fillId="3" borderId="7" xfId="0" quotePrefix="1" applyFont="1" applyFill="1" applyBorder="1" applyAlignment="1">
      <alignment vertical="center" wrapText="1"/>
    </xf>
    <xf numFmtId="0" fontId="8" fillId="3" borderId="5" xfId="0" quotePrefix="1" applyFont="1" applyFill="1" applyBorder="1" applyAlignment="1">
      <alignment vertical="center" wrapText="1"/>
    </xf>
    <xf numFmtId="0" fontId="8" fillId="3" borderId="1" xfId="0" quotePrefix="1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20" xfId="0" quotePrefix="1" applyFont="1" applyBorder="1" applyAlignment="1">
      <alignment horizontal="center" vertical="center"/>
    </xf>
    <xf numFmtId="0" fontId="3" fillId="0" borderId="21" xfId="0" quotePrefix="1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park/Desktop/CSP-Latest/CSPMB01_v100_AD18/_BOM/CSPMB01_REV099_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ized"/>
    </sheetNames>
    <sheetDataSet>
      <sheetData sheetId="0">
        <row r="23">
          <cell r="B23" t="str">
            <v>Capacitor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s/en/resistors/chip-resistor-surface-mount/52?k=RT0805BRB0710KL&amp;k=&amp;pkeyword=RT0805BRB0710KL&amp;sv=0&amp;pv7=2&amp;sf=0&amp;quantity=&amp;ColumnSort=0&amp;page=1&amp;pageSize=25" TargetMode="External"/><Relationship Id="rId13" Type="http://schemas.openxmlformats.org/officeDocument/2006/relationships/hyperlink" Target="https://www.digikey.com/products/en/resistors/chip-resistor-surface-mount/52?k=RT0603DRD07200RL&amp;k=&amp;pkeyword=RT0603DRD07200RL&amp;sv=0&amp;pv7=2&amp;sf=0&amp;quantity=&amp;ColumnSort=0&amp;page=1&amp;pageSize=25" TargetMode="External"/><Relationship Id="rId18" Type="http://schemas.openxmlformats.org/officeDocument/2006/relationships/hyperlink" Target="https://www.digikey.com/products/en/integrated-circuits-ics/pmic-battery-chargers/781?k=BQ21040DBVR&amp;k=&amp;pkeyword=BQ21040DBVR&amp;sv=0&amp;pv7=2&amp;sf=0&amp;quantity=&amp;ColumnSort=0&amp;page=1&amp;pageSize=25" TargetMode="External"/><Relationship Id="rId26" Type="http://schemas.openxmlformats.org/officeDocument/2006/relationships/hyperlink" Target="https://www.digikey.com/products/en?keywords=B2B-PH-K-S(LF)(SN)" TargetMode="External"/><Relationship Id="rId3" Type="http://schemas.openxmlformats.org/officeDocument/2006/relationships/hyperlink" Target="https://www.digikey.com/products/en/capacitors/ceramic-capacitors/60?k=GRM188R61E475KE11D&amp;k=&amp;pkeyword=GRM188R61E475KE11D&amp;sv=0&amp;pv7=2&amp;sf=0&amp;quantity=&amp;ColumnSort=0&amp;page=1&amp;pageSize=25" TargetMode="External"/><Relationship Id="rId21" Type="http://schemas.openxmlformats.org/officeDocument/2006/relationships/hyperlink" Target="https://www.digikey.com/products/en/discrete-semiconductor-products/diodes-zener-single/287?k=MM3Z3V3B&amp;k=&amp;pkeyword=MM3Z3V3B&amp;sv=0&amp;pv7=2&amp;sf=0&amp;quantity=&amp;ColumnSort=0&amp;page=1&amp;pageSize=25" TargetMode="External"/><Relationship Id="rId7" Type="http://schemas.openxmlformats.org/officeDocument/2006/relationships/hyperlink" Target="https://www.digikey.com/products/en/discrete-semiconductor-products/diodes-rectifiers-single/280?k=MBR120VLSFT3G&amp;k=&amp;pkeyword=MBR120VLSFT3G&amp;sv=0&amp;pv7=2&amp;sf=0&amp;quantity=&amp;ColumnSort=0&amp;page=1&amp;pageSize=25" TargetMode="External"/><Relationship Id="rId12" Type="http://schemas.openxmlformats.org/officeDocument/2006/relationships/hyperlink" Target="https://www.digikey.com/products/en/resistors/chip-resistor-surface-mount/52?k=RC0603FR-07133KL&amp;k=&amp;pkeyword=RC0603FR-07133KL&amp;sv=0&amp;pv7=2&amp;sf=0&amp;quantity=&amp;ColumnSort=0&amp;page=1&amp;pageSize=25" TargetMode="External"/><Relationship Id="rId17" Type="http://schemas.openxmlformats.org/officeDocument/2006/relationships/hyperlink" Target="https://www.digikey.com/products/en/integrated-circuits-ics/pmic-voltage-regulators-dc-dc-switching-regulators/739?k=TPS63031DSKR&amp;k=&amp;pkeyword=TPS63031DSKR&amp;sv=0&amp;pv7=2&amp;sf=0&amp;quantity=&amp;ColumnSort=0&amp;page=1&amp;pageSize=25" TargetMode="External"/><Relationship Id="rId25" Type="http://schemas.openxmlformats.org/officeDocument/2006/relationships/hyperlink" Target="https://www.digikey.com/products/en?keywords=B13B-PH-K-S(LF)(SN)" TargetMode="External"/><Relationship Id="rId2" Type="http://schemas.openxmlformats.org/officeDocument/2006/relationships/hyperlink" Target="https://www.digikey.com/product-detail/en/taiyo-yuden/UMK107AB7105KA-T/587-3247-1-ND/3660107" TargetMode="External"/><Relationship Id="rId16" Type="http://schemas.openxmlformats.org/officeDocument/2006/relationships/hyperlink" Target="https://www.digikey.com/products/en/connectors-interconnects/usb-dvi-hdmi-connectors/312?k=10118192-0001LF&amp;k=&amp;pkeyword=10118192-0001LF&amp;sv=0&amp;pv7=2&amp;sf=0&amp;quantity=&amp;ColumnSort=0&amp;page=1&amp;pageSize=25" TargetMode="External"/><Relationship Id="rId20" Type="http://schemas.openxmlformats.org/officeDocument/2006/relationships/hyperlink" Target="https://www.digikey.com/product-detail/en/espressif-systems/ESP32-WROOM-32/1904-1010-1-ND/8544305" TargetMode="External"/><Relationship Id="rId29" Type="http://schemas.openxmlformats.org/officeDocument/2006/relationships/hyperlink" Target="https://www.digikey.com/product-detail/en/jst-sales-america-inc/PHR-13/455-1155-ND/608597" TargetMode="External"/><Relationship Id="rId1" Type="http://schemas.openxmlformats.org/officeDocument/2006/relationships/hyperlink" Target="https://www.digikey.com/product-detail/en/avx-corporation/0402ZD104KAT2A/478-1129-1-ND/564161" TargetMode="External"/><Relationship Id="rId6" Type="http://schemas.openxmlformats.org/officeDocument/2006/relationships/hyperlink" Target="https://www.digikey.com/products/en/discrete-semiconductor-products/transistors-fets-mosfets-single/278?k=DMP2045U-7&amp;k=&amp;pkeyword=DMP2045U-7&amp;sv=0&amp;pv7=2&amp;sf=0&amp;quantity=&amp;ColumnSort=0&amp;page=1&amp;pageSize=25" TargetMode="External"/><Relationship Id="rId11" Type="http://schemas.openxmlformats.org/officeDocument/2006/relationships/hyperlink" Target="https://www.digikey.com/product-detail/en/te-connectivity-passive-product/3522120RJT/A121132CT-ND/5245189" TargetMode="External"/><Relationship Id="rId24" Type="http://schemas.openxmlformats.org/officeDocument/2006/relationships/hyperlink" Target="https://www.digikey.com/products/en/resistors/chip-resistor-surface-mount/52?k=RC0603FR-073K3L&amp;k=&amp;pkeyword=RC0603FR-073K3L&amp;sv=0&amp;pv7=2&amp;sf=0&amp;quantity=&amp;ColumnSort=0&amp;page=1&amp;pageSize=25" TargetMode="External"/><Relationship Id="rId5" Type="http://schemas.openxmlformats.org/officeDocument/2006/relationships/hyperlink" Target="https://www.digikey.com/products/en/discrete-semiconductor-products/transistors-bipolar-bjt-single/276?k=MMBT2222A-7-F&amp;k=&amp;pkeyword=MMBT2222A-7-F&amp;sv=0&amp;pv7=2&amp;sf=0&amp;quantity=&amp;ColumnSort=0&amp;page=1&amp;pageSize=25" TargetMode="External"/><Relationship Id="rId15" Type="http://schemas.openxmlformats.org/officeDocument/2006/relationships/hyperlink" Target="https://www.digikey.com/products/en/resistors/chip-resistor-surface-mount/52?k=HRG3216P-3900-D-T1&amp;k=&amp;pkeyword=HRG3216P-3900-D-T1&amp;sv=0&amp;pv7=2&amp;sf=0&amp;quantity=&amp;ColumnSort=0&amp;page=1&amp;pageSize=25" TargetMode="External"/><Relationship Id="rId23" Type="http://schemas.openxmlformats.org/officeDocument/2006/relationships/hyperlink" Target="https://www.digikey.com/products/en/inductors-coils-chokes/fixed-inductors/71?k=NR6028T1R5N&amp;k=&amp;pkeyword=NR6028T1R5N&amp;sv=0&amp;pv7=2&amp;sf=0&amp;quantity=&amp;ColumnSort=0&amp;page=1&amp;pageSize=25" TargetMode="External"/><Relationship Id="rId28" Type="http://schemas.openxmlformats.org/officeDocument/2006/relationships/hyperlink" Target="https://www.digikey.com/product-detail/en/jst-sales-america-inc/PHR-2/455-1165-ND/608607" TargetMode="External"/><Relationship Id="rId10" Type="http://schemas.openxmlformats.org/officeDocument/2006/relationships/hyperlink" Target="https://www.digikey.com/products/en/resistors/chip-resistor-surface-mount/52?k=RT0603BRD07100KL&amp;k=&amp;pkeyword=RT0603BRD07100KL&amp;sv=0&amp;pv7=2&amp;sf=0&amp;quantity=&amp;ColumnSort=0&amp;page=1&amp;pageSize=25" TargetMode="External"/><Relationship Id="rId19" Type="http://schemas.openxmlformats.org/officeDocument/2006/relationships/hyperlink" Target="https://www.digikey.com/products/en/isolators/optoisolators-transistor-photovoltaic-output/903?k=PC3H712NIP1H&amp;k=&amp;pkeyword=PC3H712NIP1H&amp;sv=0&amp;pv7=2&amp;sf=0&amp;quantity=&amp;ColumnSort=0&amp;page=1&amp;pageSize=25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products/en/capacitors/ceramic-capacitors/60?k=C1608X5R1E106M080AC&amp;k=&amp;pkeyword=C1608X5R1E106M080AC&amp;sv=0&amp;pv7=2&amp;sf=0&amp;quantity=&amp;ColumnSort=0&amp;page=1&amp;pageSize=25" TargetMode="External"/><Relationship Id="rId9" Type="http://schemas.openxmlformats.org/officeDocument/2006/relationships/hyperlink" Target="https://www.digikey.com/products/en/resistors/chip-resistor-surface-mount/52?k=RC0603FR-0710KL&amp;k=&amp;pkeyword=RC0603FR-0710KL&amp;sv=0&amp;pv7=2&amp;sf=0&amp;quantity=&amp;ColumnSort=0&amp;page=1&amp;pageSize=25" TargetMode="External"/><Relationship Id="rId14" Type="http://schemas.openxmlformats.org/officeDocument/2006/relationships/hyperlink" Target="https://www.digikey.com/products/en/resistors/chip-resistor-surface-mount/52?k=RC0603FR-07330RL&amp;k=&amp;pkeyword=RC0603FR-07330RL&amp;sv=0&amp;pv7=2&amp;sf=0&amp;quantity=&amp;ColumnSort=0&amp;page=1&amp;pageSize=25" TargetMode="External"/><Relationship Id="rId22" Type="http://schemas.openxmlformats.org/officeDocument/2006/relationships/hyperlink" Target="https://www.digikey.com/products/en/optoelectronics/led-indication-discrete/105?k=APT1608QBC%2FD&amp;k=&amp;pkeyword=APT1608QBC%2FD&amp;sv=0&amp;pv7=2&amp;sf=0&amp;quantity=&amp;ColumnSort=0&amp;page=1&amp;pageSize=25" TargetMode="External"/><Relationship Id="rId27" Type="http://schemas.openxmlformats.org/officeDocument/2006/relationships/hyperlink" Target="https://eu.mouser.com/ProductDetail/Yageo/RT0603DRE0749K3L?qs=bQfrgN9vNvyV7KQpBB9OQw%3D%3D" TargetMode="External"/><Relationship Id="rId30" Type="http://schemas.openxmlformats.org/officeDocument/2006/relationships/hyperlink" Target="https://www.digikey.com/product-detail/en/yageo/RC0603FR-07665RL/311-665HRCT-ND/7302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="85" zoomScaleNormal="85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K23" sqref="K23"/>
    </sheetView>
  </sheetViews>
  <sheetFormatPr defaultRowHeight="15" x14ac:dyDescent="0.25"/>
  <cols>
    <col min="1" max="1" width="7" bestFit="1" customWidth="1"/>
    <col min="2" max="2" width="15.7109375" bestFit="1" customWidth="1"/>
    <col min="3" max="3" width="38.7109375" style="6" customWidth="1"/>
    <col min="4" max="4" width="38.140625" customWidth="1"/>
    <col min="5" max="5" width="22.140625" bestFit="1" customWidth="1"/>
    <col min="6" max="6" width="28.7109375" bestFit="1" customWidth="1"/>
    <col min="7" max="7" width="29.85546875" bestFit="1" customWidth="1"/>
    <col min="8" max="8" width="6.7109375" style="1" bestFit="1" customWidth="1"/>
    <col min="9" max="9" width="10" style="1" bestFit="1" customWidth="1"/>
    <col min="10" max="10" width="15.42578125" style="1" bestFit="1" customWidth="1"/>
    <col min="11" max="11" width="7.85546875" bestFit="1" customWidth="1"/>
    <col min="12" max="12" width="13" customWidth="1"/>
    <col min="13" max="13" width="13.7109375" customWidth="1"/>
    <col min="14" max="14" width="30" style="6" customWidth="1"/>
  </cols>
  <sheetData>
    <row r="1" spans="1:14" ht="24" customHeight="1" thickBot="1" x14ac:dyDescent="0.3">
      <c r="A1" s="98" t="s">
        <v>138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100"/>
    </row>
    <row r="2" spans="1:14" ht="15.75" hidden="1" customHeight="1" thickBot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50"/>
    </row>
    <row r="3" spans="1:14" s="4" customFormat="1" ht="16.5" thickBot="1" x14ac:dyDescent="0.3">
      <c r="A3" s="7" t="s">
        <v>88</v>
      </c>
      <c r="B3" s="16" t="s">
        <v>90</v>
      </c>
      <c r="C3" s="17" t="s">
        <v>0</v>
      </c>
      <c r="D3" s="16" t="s">
        <v>1</v>
      </c>
      <c r="E3" s="16" t="s">
        <v>92</v>
      </c>
      <c r="F3" s="16" t="s">
        <v>3</v>
      </c>
      <c r="G3" s="16" t="s">
        <v>91</v>
      </c>
      <c r="H3" s="16" t="s">
        <v>89</v>
      </c>
      <c r="I3" s="16" t="s">
        <v>2</v>
      </c>
      <c r="J3" s="16" t="s">
        <v>146</v>
      </c>
      <c r="K3" s="16" t="s">
        <v>93</v>
      </c>
      <c r="L3" s="14" t="s">
        <v>152</v>
      </c>
      <c r="M3" s="14" t="s">
        <v>153</v>
      </c>
      <c r="N3" s="51" t="s">
        <v>94</v>
      </c>
    </row>
    <row r="4" spans="1:14" s="10" customFormat="1" ht="16.5" thickBot="1" x14ac:dyDescent="0.3">
      <c r="A4" s="15">
        <v>1</v>
      </c>
      <c r="B4" s="105" t="str">
        <f>[1]Finalized!$B$23</f>
        <v>Capacitor</v>
      </c>
      <c r="C4" s="64" t="s">
        <v>121</v>
      </c>
      <c r="D4" s="24" t="s">
        <v>8</v>
      </c>
      <c r="E4" s="25" t="s">
        <v>104</v>
      </c>
      <c r="F4" s="25" t="s">
        <v>10</v>
      </c>
      <c r="G4" s="26" t="s">
        <v>9</v>
      </c>
      <c r="H4" s="25" t="s">
        <v>7</v>
      </c>
      <c r="I4" s="27">
        <v>9</v>
      </c>
      <c r="J4" s="27">
        <v>47</v>
      </c>
      <c r="K4" s="28" t="s">
        <v>103</v>
      </c>
      <c r="L4" s="29">
        <v>0.1</v>
      </c>
      <c r="M4" s="29">
        <f>L4*J4</f>
        <v>4.7</v>
      </c>
      <c r="N4" s="52"/>
    </row>
    <row r="5" spans="1:14" s="10" customFormat="1" ht="16.5" thickBot="1" x14ac:dyDescent="0.3">
      <c r="A5" s="15">
        <v>2</v>
      </c>
      <c r="B5" s="106"/>
      <c r="C5" s="63" t="s">
        <v>123</v>
      </c>
      <c r="D5" s="3" t="s">
        <v>12</v>
      </c>
      <c r="E5" s="11" t="s">
        <v>104</v>
      </c>
      <c r="F5" s="11" t="s">
        <v>14</v>
      </c>
      <c r="G5" s="22" t="s">
        <v>13</v>
      </c>
      <c r="H5" s="11" t="s">
        <v>11</v>
      </c>
      <c r="I5" s="9">
        <v>1</v>
      </c>
      <c r="J5" s="9">
        <v>7</v>
      </c>
      <c r="K5" s="21" t="s">
        <v>103</v>
      </c>
      <c r="L5" s="18">
        <v>0.25</v>
      </c>
      <c r="M5" s="18">
        <f t="shared" ref="M5:M35" si="0">L5*J5</f>
        <v>1.75</v>
      </c>
      <c r="N5" s="53"/>
    </row>
    <row r="6" spans="1:14" s="10" customFormat="1" ht="16.5" thickBot="1" x14ac:dyDescent="0.3">
      <c r="A6" s="15">
        <v>3</v>
      </c>
      <c r="B6" s="106"/>
      <c r="C6" s="63" t="s">
        <v>124</v>
      </c>
      <c r="D6" s="3" t="s">
        <v>16</v>
      </c>
      <c r="E6" s="11" t="s">
        <v>104</v>
      </c>
      <c r="F6" s="11" t="s">
        <v>18</v>
      </c>
      <c r="G6" s="22" t="s">
        <v>17</v>
      </c>
      <c r="H6" s="11" t="s">
        <v>15</v>
      </c>
      <c r="I6" s="9">
        <v>1</v>
      </c>
      <c r="J6" s="9">
        <v>7</v>
      </c>
      <c r="K6" s="21" t="s">
        <v>103</v>
      </c>
      <c r="L6" s="18">
        <v>0.41</v>
      </c>
      <c r="M6" s="18">
        <f t="shared" si="0"/>
        <v>2.8699999999999997</v>
      </c>
      <c r="N6" s="53"/>
    </row>
    <row r="7" spans="1:14" s="10" customFormat="1" ht="16.5" thickBot="1" x14ac:dyDescent="0.3">
      <c r="A7" s="15">
        <v>4</v>
      </c>
      <c r="B7" s="107"/>
      <c r="C7" s="65" t="s">
        <v>125</v>
      </c>
      <c r="D7" s="30" t="s">
        <v>20</v>
      </c>
      <c r="E7" s="31" t="s">
        <v>104</v>
      </c>
      <c r="F7" s="31" t="s">
        <v>22</v>
      </c>
      <c r="G7" s="32" t="s">
        <v>21</v>
      </c>
      <c r="H7" s="31" t="s">
        <v>19</v>
      </c>
      <c r="I7" s="33">
        <v>2</v>
      </c>
      <c r="J7" s="33">
        <v>12</v>
      </c>
      <c r="K7" s="34" t="s">
        <v>103</v>
      </c>
      <c r="L7" s="35">
        <v>0.84</v>
      </c>
      <c r="M7" s="35">
        <f t="shared" si="0"/>
        <v>10.08</v>
      </c>
      <c r="N7" s="54"/>
    </row>
    <row r="8" spans="1:14" s="10" customFormat="1" ht="16.5" thickBot="1" x14ac:dyDescent="0.3">
      <c r="A8" s="15">
        <v>5</v>
      </c>
      <c r="B8" s="105" t="s">
        <v>100</v>
      </c>
      <c r="C8" s="64" t="s">
        <v>122</v>
      </c>
      <c r="D8" s="36" t="s">
        <v>87</v>
      </c>
      <c r="E8" s="25" t="s">
        <v>45</v>
      </c>
      <c r="F8" s="25" t="s">
        <v>86</v>
      </c>
      <c r="G8" s="26" t="s">
        <v>105</v>
      </c>
      <c r="H8" s="37" t="s">
        <v>101</v>
      </c>
      <c r="I8" s="27">
        <v>2</v>
      </c>
      <c r="J8" s="27">
        <v>12</v>
      </c>
      <c r="K8" s="28" t="s">
        <v>103</v>
      </c>
      <c r="L8" s="29">
        <v>0.13</v>
      </c>
      <c r="M8" s="29">
        <f t="shared" si="0"/>
        <v>1.56</v>
      </c>
      <c r="N8" s="52"/>
    </row>
    <row r="9" spans="1:14" s="10" customFormat="1" ht="16.5" thickBot="1" x14ac:dyDescent="0.3">
      <c r="A9" s="15">
        <v>6</v>
      </c>
      <c r="B9" s="107"/>
      <c r="C9" s="65" t="s">
        <v>126</v>
      </c>
      <c r="D9" s="30" t="s">
        <v>44</v>
      </c>
      <c r="E9" s="31" t="s">
        <v>45</v>
      </c>
      <c r="F9" s="31" t="s">
        <v>43</v>
      </c>
      <c r="G9" s="32" t="s">
        <v>105</v>
      </c>
      <c r="H9" s="38" t="s">
        <v>101</v>
      </c>
      <c r="I9" s="33">
        <v>1</v>
      </c>
      <c r="J9" s="33">
        <v>6</v>
      </c>
      <c r="K9" s="34" t="s">
        <v>103</v>
      </c>
      <c r="L9" s="35">
        <v>0.43</v>
      </c>
      <c r="M9" s="35">
        <f t="shared" si="0"/>
        <v>2.58</v>
      </c>
      <c r="N9" s="54"/>
    </row>
    <row r="10" spans="1:14" s="10" customFormat="1" ht="16.5" thickBot="1" x14ac:dyDescent="0.3">
      <c r="A10" s="15">
        <v>7</v>
      </c>
      <c r="B10" s="105" t="s">
        <v>95</v>
      </c>
      <c r="C10" s="64" t="s">
        <v>140</v>
      </c>
      <c r="D10" s="36" t="s">
        <v>30</v>
      </c>
      <c r="E10" s="25" t="s">
        <v>106</v>
      </c>
      <c r="F10" s="25" t="s">
        <v>29</v>
      </c>
      <c r="G10" s="26" t="s">
        <v>31</v>
      </c>
      <c r="H10" s="37" t="s">
        <v>102</v>
      </c>
      <c r="I10" s="27">
        <v>1</v>
      </c>
      <c r="J10" s="27">
        <v>6</v>
      </c>
      <c r="K10" s="28" t="s">
        <v>103</v>
      </c>
      <c r="L10" s="29">
        <v>0.39</v>
      </c>
      <c r="M10" s="29">
        <f t="shared" si="0"/>
        <v>2.34</v>
      </c>
      <c r="N10" s="52"/>
    </row>
    <row r="11" spans="1:14" s="10" customFormat="1" ht="16.5" thickBot="1" x14ac:dyDescent="0.3">
      <c r="A11" s="15">
        <v>8</v>
      </c>
      <c r="B11" s="106"/>
      <c r="C11" s="63" t="s">
        <v>141</v>
      </c>
      <c r="D11" s="20" t="s">
        <v>33</v>
      </c>
      <c r="E11" s="11" t="s">
        <v>107</v>
      </c>
      <c r="F11" s="11" t="s">
        <v>32</v>
      </c>
      <c r="G11" s="22" t="s">
        <v>31</v>
      </c>
      <c r="H11" s="8" t="s">
        <v>101</v>
      </c>
      <c r="I11" s="9">
        <v>9</v>
      </c>
      <c r="J11" s="9">
        <v>46</v>
      </c>
      <c r="K11" s="21" t="s">
        <v>103</v>
      </c>
      <c r="L11" s="18">
        <v>0.2</v>
      </c>
      <c r="M11" s="18">
        <f t="shared" si="0"/>
        <v>9.2000000000000011</v>
      </c>
      <c r="N11" s="53"/>
    </row>
    <row r="12" spans="1:14" s="10" customFormat="1" ht="16.5" thickBot="1" x14ac:dyDescent="0.3">
      <c r="A12" s="15">
        <v>9</v>
      </c>
      <c r="B12" s="107"/>
      <c r="C12" s="65" t="s">
        <v>142</v>
      </c>
      <c r="D12" s="30" t="s">
        <v>41</v>
      </c>
      <c r="E12" s="31" t="s">
        <v>104</v>
      </c>
      <c r="F12" s="31" t="s">
        <v>40</v>
      </c>
      <c r="G12" s="32" t="s">
        <v>42</v>
      </c>
      <c r="H12" s="38" t="s">
        <v>101</v>
      </c>
      <c r="I12" s="33">
        <v>2</v>
      </c>
      <c r="J12" s="33">
        <v>11</v>
      </c>
      <c r="K12" s="34" t="s">
        <v>103</v>
      </c>
      <c r="L12" s="35">
        <v>0.44</v>
      </c>
      <c r="M12" s="35">
        <f t="shared" si="0"/>
        <v>4.84</v>
      </c>
      <c r="N12" s="54"/>
    </row>
    <row r="13" spans="1:14" s="10" customFormat="1" ht="16.5" thickBot="1" x14ac:dyDescent="0.3">
      <c r="A13" s="15">
        <v>10</v>
      </c>
      <c r="B13" s="62" t="s">
        <v>97</v>
      </c>
      <c r="C13" s="66" t="s">
        <v>128</v>
      </c>
      <c r="D13" s="39" t="s">
        <v>35</v>
      </c>
      <c r="E13" s="40" t="s">
        <v>113</v>
      </c>
      <c r="F13" s="40" t="s">
        <v>34</v>
      </c>
      <c r="G13" s="41" t="s">
        <v>13</v>
      </c>
      <c r="H13" s="42" t="s">
        <v>101</v>
      </c>
      <c r="I13" s="43">
        <v>1</v>
      </c>
      <c r="J13" s="43">
        <v>6</v>
      </c>
      <c r="K13" s="44" t="s">
        <v>103</v>
      </c>
      <c r="L13" s="45">
        <v>0.41</v>
      </c>
      <c r="M13" s="45">
        <f t="shared" si="0"/>
        <v>2.46</v>
      </c>
      <c r="N13" s="55"/>
    </row>
    <row r="14" spans="1:14" s="10" customFormat="1" ht="16.5" thickBot="1" x14ac:dyDescent="0.3">
      <c r="A14" s="15">
        <v>11</v>
      </c>
      <c r="B14" s="102" t="s">
        <v>96</v>
      </c>
      <c r="C14" s="64" t="s">
        <v>127</v>
      </c>
      <c r="D14" s="46" t="s">
        <v>49</v>
      </c>
      <c r="E14" s="25" t="s">
        <v>104</v>
      </c>
      <c r="F14" s="25" t="s">
        <v>50</v>
      </c>
      <c r="G14" s="26" t="s">
        <v>9</v>
      </c>
      <c r="H14" s="25" t="s">
        <v>48</v>
      </c>
      <c r="I14" s="27">
        <v>9</v>
      </c>
      <c r="J14" s="27">
        <v>47</v>
      </c>
      <c r="K14" s="28" t="s">
        <v>103</v>
      </c>
      <c r="L14" s="29">
        <v>0.1</v>
      </c>
      <c r="M14" s="29">
        <f t="shared" si="0"/>
        <v>4.7</v>
      </c>
      <c r="N14" s="52"/>
    </row>
    <row r="15" spans="1:14" s="10" customFormat="1" ht="44.25" customHeight="1" thickBot="1" x14ac:dyDescent="0.3">
      <c r="A15" s="15">
        <v>12</v>
      </c>
      <c r="B15" s="103"/>
      <c r="C15" s="90" t="s">
        <v>129</v>
      </c>
      <c r="D15" s="91" t="s">
        <v>52</v>
      </c>
      <c r="E15" s="84" t="s">
        <v>108</v>
      </c>
      <c r="F15" s="84" t="s">
        <v>53</v>
      </c>
      <c r="G15" s="85" t="s">
        <v>9</v>
      </c>
      <c r="H15" s="84" t="s">
        <v>51</v>
      </c>
      <c r="I15" s="87">
        <v>1</v>
      </c>
      <c r="J15" s="85">
        <v>7</v>
      </c>
      <c r="K15" s="88" t="s">
        <v>103</v>
      </c>
      <c r="L15" s="82">
        <v>0.7</v>
      </c>
      <c r="M15" s="82">
        <f t="shared" si="0"/>
        <v>4.8999999999999995</v>
      </c>
      <c r="N15" s="101"/>
    </row>
    <row r="16" spans="1:14" s="10" customFormat="1" ht="39" customHeight="1" thickBot="1" x14ac:dyDescent="0.3">
      <c r="A16" s="15">
        <v>13</v>
      </c>
      <c r="B16" s="103"/>
      <c r="C16" s="90" t="s">
        <v>130</v>
      </c>
      <c r="D16" s="91" t="s">
        <v>54</v>
      </c>
      <c r="E16" s="84" t="s">
        <v>104</v>
      </c>
      <c r="F16" s="84" t="s">
        <v>55</v>
      </c>
      <c r="G16" s="85" t="s">
        <v>109</v>
      </c>
      <c r="H16" s="84" t="s">
        <v>51</v>
      </c>
      <c r="I16" s="87">
        <v>3</v>
      </c>
      <c r="J16" s="85">
        <v>17</v>
      </c>
      <c r="K16" s="88" t="s">
        <v>103</v>
      </c>
      <c r="L16" s="82">
        <v>0.1</v>
      </c>
      <c r="M16" s="82">
        <f t="shared" si="0"/>
        <v>1.7000000000000002</v>
      </c>
      <c r="N16" s="101"/>
    </row>
    <row r="17" spans="1:16" s="10" customFormat="1" ht="16.5" thickBot="1" x14ac:dyDescent="0.3">
      <c r="A17" s="15">
        <v>14</v>
      </c>
      <c r="B17" s="103"/>
      <c r="C17" s="90" t="s">
        <v>131</v>
      </c>
      <c r="D17" s="91" t="s">
        <v>57</v>
      </c>
      <c r="E17" s="11" t="s">
        <v>104</v>
      </c>
      <c r="F17" s="11" t="s">
        <v>58</v>
      </c>
      <c r="G17" s="22" t="s">
        <v>9</v>
      </c>
      <c r="H17" s="11" t="s">
        <v>56</v>
      </c>
      <c r="I17" s="9">
        <v>1</v>
      </c>
      <c r="J17" s="9">
        <v>7</v>
      </c>
      <c r="K17" s="21" t="s">
        <v>103</v>
      </c>
      <c r="L17" s="18">
        <v>0.38</v>
      </c>
      <c r="M17" s="18">
        <f t="shared" si="0"/>
        <v>2.66</v>
      </c>
      <c r="N17" s="53"/>
    </row>
    <row r="18" spans="1:16" s="10" customFormat="1" ht="16.5" thickBot="1" x14ac:dyDescent="0.3">
      <c r="A18" s="15">
        <v>15</v>
      </c>
      <c r="B18" s="103"/>
      <c r="C18" s="90" t="s">
        <v>132</v>
      </c>
      <c r="D18" s="92" t="s">
        <v>60</v>
      </c>
      <c r="E18" s="11" t="s">
        <v>111</v>
      </c>
      <c r="F18" s="11" t="s">
        <v>61</v>
      </c>
      <c r="G18" s="22" t="s">
        <v>110</v>
      </c>
      <c r="H18" s="11" t="s">
        <v>59</v>
      </c>
      <c r="I18" s="9">
        <v>7</v>
      </c>
      <c r="J18" s="9">
        <v>37</v>
      </c>
      <c r="K18" s="21" t="s">
        <v>103</v>
      </c>
      <c r="L18" s="18">
        <v>0.65</v>
      </c>
      <c r="M18" s="18">
        <f t="shared" si="0"/>
        <v>24.05</v>
      </c>
      <c r="N18" s="53"/>
    </row>
    <row r="19" spans="1:16" s="10" customFormat="1" ht="16.5" thickBot="1" x14ac:dyDescent="0.3">
      <c r="A19" s="15">
        <v>16</v>
      </c>
      <c r="B19" s="103"/>
      <c r="C19" s="90" t="s">
        <v>133</v>
      </c>
      <c r="D19" s="91" t="s">
        <v>63</v>
      </c>
      <c r="E19" s="11" t="s">
        <v>104</v>
      </c>
      <c r="F19" s="11" t="s">
        <v>64</v>
      </c>
      <c r="G19" s="22" t="s">
        <v>9</v>
      </c>
      <c r="H19" s="11" t="s">
        <v>62</v>
      </c>
      <c r="I19" s="9">
        <v>1</v>
      </c>
      <c r="J19" s="9">
        <v>7</v>
      </c>
      <c r="K19" s="21" t="s">
        <v>103</v>
      </c>
      <c r="L19" s="18">
        <v>0.1</v>
      </c>
      <c r="M19" s="18">
        <f t="shared" si="0"/>
        <v>0.70000000000000007</v>
      </c>
      <c r="N19" s="53"/>
    </row>
    <row r="20" spans="1:16" s="10" customFormat="1" ht="16.5" thickBot="1" x14ac:dyDescent="0.3">
      <c r="A20" s="15">
        <v>17</v>
      </c>
      <c r="B20" s="103"/>
      <c r="C20" s="90" t="s">
        <v>134</v>
      </c>
      <c r="D20" s="91" t="s">
        <v>66</v>
      </c>
      <c r="E20" s="11" t="s">
        <v>104</v>
      </c>
      <c r="F20" s="11" t="s">
        <v>67</v>
      </c>
      <c r="G20" s="22" t="s">
        <v>9</v>
      </c>
      <c r="H20" s="11" t="s">
        <v>65</v>
      </c>
      <c r="I20" s="9">
        <v>9</v>
      </c>
      <c r="J20" s="9">
        <v>47</v>
      </c>
      <c r="K20" s="21" t="s">
        <v>103</v>
      </c>
      <c r="L20" s="18">
        <v>0.2</v>
      </c>
      <c r="M20" s="18">
        <f t="shared" si="0"/>
        <v>9.4</v>
      </c>
      <c r="N20" s="53"/>
    </row>
    <row r="21" spans="1:16" s="10" customFormat="1" ht="16.5" thickBot="1" x14ac:dyDescent="0.3">
      <c r="A21" s="15">
        <v>18</v>
      </c>
      <c r="B21" s="103"/>
      <c r="C21" s="90" t="s">
        <v>135</v>
      </c>
      <c r="D21" s="91" t="s">
        <v>69</v>
      </c>
      <c r="E21" s="11" t="s">
        <v>104</v>
      </c>
      <c r="F21" s="11" t="s">
        <v>70</v>
      </c>
      <c r="G21" s="22" t="s">
        <v>9</v>
      </c>
      <c r="H21" s="11" t="s">
        <v>68</v>
      </c>
      <c r="I21" s="9">
        <v>2</v>
      </c>
      <c r="J21" s="9">
        <v>12</v>
      </c>
      <c r="K21" s="21" t="s">
        <v>103</v>
      </c>
      <c r="L21" s="18">
        <v>0.1</v>
      </c>
      <c r="M21" s="18">
        <f t="shared" si="0"/>
        <v>1.2000000000000002</v>
      </c>
      <c r="N21" s="53"/>
    </row>
    <row r="22" spans="1:16" ht="16.5" thickBot="1" x14ac:dyDescent="0.3">
      <c r="A22" s="15">
        <v>19</v>
      </c>
      <c r="B22" s="103"/>
      <c r="C22" s="90" t="s">
        <v>136</v>
      </c>
      <c r="D22" s="91" t="s">
        <v>72</v>
      </c>
      <c r="E22" s="11" t="s">
        <v>112</v>
      </c>
      <c r="F22" s="2" t="s">
        <v>74</v>
      </c>
      <c r="G22" s="23" t="s">
        <v>73</v>
      </c>
      <c r="H22" s="2" t="s">
        <v>71</v>
      </c>
      <c r="I22" s="5">
        <v>9</v>
      </c>
      <c r="J22" s="9">
        <v>47</v>
      </c>
      <c r="K22" s="19" t="s">
        <v>103</v>
      </c>
      <c r="L22" s="18">
        <v>0.92</v>
      </c>
      <c r="M22" s="18">
        <f t="shared" si="0"/>
        <v>43.24</v>
      </c>
      <c r="N22" s="56"/>
    </row>
    <row r="23" spans="1:16" ht="16.5" thickBot="1" x14ac:dyDescent="0.3">
      <c r="A23" s="15">
        <v>20</v>
      </c>
      <c r="B23" s="103"/>
      <c r="C23" s="92" t="s">
        <v>162</v>
      </c>
      <c r="D23" s="91" t="s">
        <v>75</v>
      </c>
      <c r="E23" s="11" t="s">
        <v>104</v>
      </c>
      <c r="F23" s="2" t="s">
        <v>163</v>
      </c>
      <c r="G23" s="23" t="s">
        <v>9</v>
      </c>
      <c r="H23" s="2" t="s">
        <v>164</v>
      </c>
      <c r="I23" s="5">
        <v>1</v>
      </c>
      <c r="J23" s="9">
        <v>7</v>
      </c>
      <c r="K23" s="19" t="s">
        <v>103</v>
      </c>
      <c r="L23" s="18">
        <v>0.1</v>
      </c>
      <c r="M23" s="18">
        <f t="shared" si="0"/>
        <v>0.70000000000000007</v>
      </c>
      <c r="N23" s="56"/>
    </row>
    <row r="24" spans="1:16" s="49" customFormat="1" ht="30.75" thickBot="1" x14ac:dyDescent="0.3">
      <c r="A24" s="15">
        <v>21</v>
      </c>
      <c r="B24" s="104"/>
      <c r="C24" s="93" t="s">
        <v>83</v>
      </c>
      <c r="D24" s="93" t="s">
        <v>84</v>
      </c>
      <c r="E24" s="68" t="s">
        <v>104</v>
      </c>
      <c r="F24" s="68" t="s">
        <v>85</v>
      </c>
      <c r="G24" s="69" t="s">
        <v>9</v>
      </c>
      <c r="H24" s="68" t="s">
        <v>82</v>
      </c>
      <c r="I24" s="70">
        <v>1</v>
      </c>
      <c r="J24" s="69">
        <v>7</v>
      </c>
      <c r="K24" s="71" t="s">
        <v>154</v>
      </c>
      <c r="L24" s="72">
        <v>0.16</v>
      </c>
      <c r="M24" s="72">
        <f t="shared" si="0"/>
        <v>1.1200000000000001</v>
      </c>
      <c r="N24" s="73"/>
    </row>
    <row r="25" spans="1:16" ht="30.75" thickBot="1" x14ac:dyDescent="0.3">
      <c r="A25" s="15">
        <v>22</v>
      </c>
      <c r="B25" s="108" t="s">
        <v>98</v>
      </c>
      <c r="C25" s="94" t="s">
        <v>80</v>
      </c>
      <c r="D25" s="94" t="s">
        <v>81</v>
      </c>
      <c r="E25" s="74" t="s">
        <v>80</v>
      </c>
      <c r="F25" s="75" t="s">
        <v>101</v>
      </c>
      <c r="G25" s="75" t="s">
        <v>101</v>
      </c>
      <c r="H25" s="75" t="s">
        <v>101</v>
      </c>
      <c r="I25" s="74">
        <v>17</v>
      </c>
      <c r="J25" s="74">
        <f t="shared" ref="J25:J26" si="1">I25*5</f>
        <v>85</v>
      </c>
      <c r="K25" s="75" t="s">
        <v>101</v>
      </c>
      <c r="L25" s="75"/>
      <c r="M25" s="75"/>
      <c r="N25" s="76" t="s">
        <v>139</v>
      </c>
    </row>
    <row r="26" spans="1:16" ht="16.5" thickBot="1" x14ac:dyDescent="0.3">
      <c r="A26" s="15">
        <v>23</v>
      </c>
      <c r="B26" s="109"/>
      <c r="C26" s="95" t="s">
        <v>145</v>
      </c>
      <c r="D26" s="95" t="s">
        <v>5</v>
      </c>
      <c r="E26" s="77" t="s">
        <v>113</v>
      </c>
      <c r="F26" s="77" t="s">
        <v>4</v>
      </c>
      <c r="G26" s="77" t="s">
        <v>6</v>
      </c>
      <c r="H26" s="78" t="s">
        <v>101</v>
      </c>
      <c r="I26" s="77">
        <v>1</v>
      </c>
      <c r="J26" s="77">
        <f t="shared" si="1"/>
        <v>5</v>
      </c>
      <c r="K26" s="78" t="s">
        <v>101</v>
      </c>
      <c r="L26" s="78"/>
      <c r="M26" s="78"/>
      <c r="N26" s="79" t="s">
        <v>139</v>
      </c>
    </row>
    <row r="27" spans="1:16" ht="16.5" thickBot="1" x14ac:dyDescent="0.3">
      <c r="A27" s="15">
        <v>24</v>
      </c>
      <c r="B27" s="109"/>
      <c r="C27" s="96" t="s">
        <v>156</v>
      </c>
      <c r="D27" s="80" t="s">
        <v>101</v>
      </c>
      <c r="E27" s="80" t="s">
        <v>101</v>
      </c>
      <c r="F27" s="80" t="s">
        <v>157</v>
      </c>
      <c r="G27" s="80" t="s">
        <v>158</v>
      </c>
      <c r="H27" s="80" t="s">
        <v>101</v>
      </c>
      <c r="I27" s="80">
        <v>2</v>
      </c>
      <c r="J27" s="80">
        <v>11</v>
      </c>
      <c r="K27" s="81" t="s">
        <v>103</v>
      </c>
      <c r="L27" s="82" t="s">
        <v>159</v>
      </c>
      <c r="M27" s="82">
        <f>L27*J27</f>
        <v>1.1000000000000001</v>
      </c>
      <c r="N27" s="83"/>
    </row>
    <row r="28" spans="1:16" s="49" customFormat="1" ht="63.75" customHeight="1" thickBot="1" x14ac:dyDescent="0.3">
      <c r="A28" s="15">
        <v>25</v>
      </c>
      <c r="B28" s="109"/>
      <c r="C28" s="96" t="s">
        <v>150</v>
      </c>
      <c r="D28" s="97" t="s">
        <v>155</v>
      </c>
      <c r="E28" s="84" t="s">
        <v>148</v>
      </c>
      <c r="F28" s="84" t="s">
        <v>151</v>
      </c>
      <c r="G28" s="85" t="s">
        <v>115</v>
      </c>
      <c r="H28" s="86" t="s">
        <v>101</v>
      </c>
      <c r="I28" s="87">
        <v>2</v>
      </c>
      <c r="J28" s="85">
        <v>11</v>
      </c>
      <c r="K28" s="88" t="s">
        <v>103</v>
      </c>
      <c r="L28" s="82">
        <v>0.17</v>
      </c>
      <c r="M28" s="82">
        <f t="shared" si="0"/>
        <v>1.87</v>
      </c>
      <c r="N28" s="89"/>
      <c r="P28" s="58"/>
    </row>
    <row r="29" spans="1:16" s="49" customFormat="1" ht="16.5" thickBot="1" x14ac:dyDescent="0.3">
      <c r="A29" s="15">
        <v>26</v>
      </c>
      <c r="B29" s="109"/>
      <c r="C29" s="96" t="s">
        <v>161</v>
      </c>
      <c r="D29" s="80" t="s">
        <v>101</v>
      </c>
      <c r="E29" s="80" t="s">
        <v>101</v>
      </c>
      <c r="F29" s="80" t="s">
        <v>160</v>
      </c>
      <c r="G29" s="85" t="s">
        <v>115</v>
      </c>
      <c r="H29" s="86" t="s">
        <v>101</v>
      </c>
      <c r="I29" s="80">
        <v>2</v>
      </c>
      <c r="J29" s="80">
        <v>11</v>
      </c>
      <c r="K29" s="88" t="s">
        <v>103</v>
      </c>
      <c r="L29" s="82">
        <v>0.26</v>
      </c>
      <c r="M29" s="82">
        <f>L29*J29</f>
        <v>2.8600000000000003</v>
      </c>
      <c r="N29" s="89"/>
      <c r="P29" s="58"/>
    </row>
    <row r="30" spans="1:16" ht="16.5" thickBot="1" x14ac:dyDescent="0.3">
      <c r="A30" s="15">
        <v>27</v>
      </c>
      <c r="B30" s="109"/>
      <c r="C30" s="90" t="s">
        <v>149</v>
      </c>
      <c r="D30" s="91" t="s">
        <v>23</v>
      </c>
      <c r="E30" s="84" t="s">
        <v>114</v>
      </c>
      <c r="F30" s="84" t="s">
        <v>147</v>
      </c>
      <c r="G30" s="85" t="s">
        <v>115</v>
      </c>
      <c r="H30" s="86" t="s">
        <v>101</v>
      </c>
      <c r="I30" s="87">
        <v>1</v>
      </c>
      <c r="J30" s="87">
        <v>6</v>
      </c>
      <c r="K30" s="88" t="s">
        <v>103</v>
      </c>
      <c r="L30" s="82">
        <v>0.59</v>
      </c>
      <c r="M30" s="82">
        <f t="shared" si="0"/>
        <v>3.54</v>
      </c>
      <c r="N30" s="89"/>
    </row>
    <row r="31" spans="1:16" s="49" customFormat="1" ht="30.75" thickBot="1" x14ac:dyDescent="0.3">
      <c r="A31" s="15">
        <v>28</v>
      </c>
      <c r="B31" s="110"/>
      <c r="C31" s="67" t="s">
        <v>143</v>
      </c>
      <c r="D31" s="59" t="s">
        <v>25</v>
      </c>
      <c r="E31" s="31" t="s">
        <v>116</v>
      </c>
      <c r="F31" s="31" t="s">
        <v>24</v>
      </c>
      <c r="G31" s="32" t="s">
        <v>26</v>
      </c>
      <c r="H31" s="38" t="s">
        <v>101</v>
      </c>
      <c r="I31" s="33">
        <v>1</v>
      </c>
      <c r="J31" s="33">
        <v>6</v>
      </c>
      <c r="K31" s="34" t="s">
        <v>103</v>
      </c>
      <c r="L31" s="35">
        <v>0.43</v>
      </c>
      <c r="M31" s="35">
        <f t="shared" si="0"/>
        <v>2.58</v>
      </c>
      <c r="N31" s="54"/>
    </row>
    <row r="32" spans="1:16" s="61" customFormat="1" ht="45.75" thickBot="1" x14ac:dyDescent="0.3">
      <c r="A32" s="15">
        <v>29</v>
      </c>
      <c r="B32" s="102" t="s">
        <v>99</v>
      </c>
      <c r="C32" s="60" t="s">
        <v>137</v>
      </c>
      <c r="D32" s="60" t="s">
        <v>28</v>
      </c>
      <c r="E32" s="25" t="s">
        <v>118</v>
      </c>
      <c r="F32" s="47" t="s">
        <v>27</v>
      </c>
      <c r="G32" s="26" t="s">
        <v>39</v>
      </c>
      <c r="H32" s="37" t="s">
        <v>101</v>
      </c>
      <c r="I32" s="27">
        <v>1</v>
      </c>
      <c r="J32" s="27">
        <v>6</v>
      </c>
      <c r="K32" s="28" t="s">
        <v>103</v>
      </c>
      <c r="L32" s="29">
        <v>1.87</v>
      </c>
      <c r="M32" s="29">
        <f t="shared" si="0"/>
        <v>11.22</v>
      </c>
      <c r="N32" s="52"/>
    </row>
    <row r="33" spans="1:14" s="10" customFormat="1" ht="16.5" thickBot="1" x14ac:dyDescent="0.3">
      <c r="A33" s="15">
        <v>30</v>
      </c>
      <c r="B33" s="103"/>
      <c r="C33" s="63" t="s">
        <v>37</v>
      </c>
      <c r="D33" s="3" t="s">
        <v>38</v>
      </c>
      <c r="E33" s="11" t="s">
        <v>117</v>
      </c>
      <c r="F33" s="11" t="s">
        <v>36</v>
      </c>
      <c r="G33" s="22" t="s">
        <v>39</v>
      </c>
      <c r="H33" s="8" t="s">
        <v>101</v>
      </c>
      <c r="I33" s="9">
        <v>1</v>
      </c>
      <c r="J33" s="9">
        <v>6</v>
      </c>
      <c r="K33" s="21" t="s">
        <v>103</v>
      </c>
      <c r="L33" s="18">
        <v>1.19</v>
      </c>
      <c r="M33" s="18">
        <f t="shared" si="0"/>
        <v>7.14</v>
      </c>
      <c r="N33" s="53"/>
    </row>
    <row r="34" spans="1:14" s="10" customFormat="1" ht="16.5" thickBot="1" x14ac:dyDescent="0.3">
      <c r="A34" s="15">
        <v>31</v>
      </c>
      <c r="B34" s="103"/>
      <c r="C34" s="63" t="s">
        <v>77</v>
      </c>
      <c r="D34" s="3" t="s">
        <v>78</v>
      </c>
      <c r="E34" s="11" t="s">
        <v>113</v>
      </c>
      <c r="F34" s="11" t="s">
        <v>76</v>
      </c>
      <c r="G34" s="22" t="s">
        <v>79</v>
      </c>
      <c r="H34" s="8" t="s">
        <v>101</v>
      </c>
      <c r="I34" s="9">
        <v>1</v>
      </c>
      <c r="J34" s="9">
        <v>6</v>
      </c>
      <c r="K34" s="21" t="s">
        <v>103</v>
      </c>
      <c r="L34" s="18">
        <v>3.8</v>
      </c>
      <c r="M34" s="18">
        <f t="shared" si="0"/>
        <v>22.799999999999997</v>
      </c>
      <c r="N34" s="53"/>
    </row>
    <row r="35" spans="1:14" s="10" customFormat="1" ht="16.5" thickBot="1" x14ac:dyDescent="0.3">
      <c r="A35" s="15">
        <v>32</v>
      </c>
      <c r="B35" s="104"/>
      <c r="C35" s="65" t="s">
        <v>144</v>
      </c>
      <c r="D35" s="30" t="s">
        <v>47</v>
      </c>
      <c r="E35" s="48" t="s">
        <v>119</v>
      </c>
      <c r="F35" s="31" t="s">
        <v>46</v>
      </c>
      <c r="G35" s="32" t="s">
        <v>120</v>
      </c>
      <c r="H35" s="38" t="s">
        <v>101</v>
      </c>
      <c r="I35" s="33">
        <v>9</v>
      </c>
      <c r="J35" s="33">
        <v>47</v>
      </c>
      <c r="K35" s="34" t="s">
        <v>103</v>
      </c>
      <c r="L35" s="35">
        <v>0.84</v>
      </c>
      <c r="M35" s="35">
        <f t="shared" si="0"/>
        <v>39.479999999999997</v>
      </c>
      <c r="N35" s="54"/>
    </row>
    <row r="36" spans="1:14" s="10" customFormat="1" x14ac:dyDescent="0.25">
      <c r="A36" s="6"/>
      <c r="B36"/>
      <c r="C36" s="57"/>
    </row>
    <row r="37" spans="1:14" x14ac:dyDescent="0.25">
      <c r="H37"/>
      <c r="I37"/>
      <c r="J37"/>
      <c r="N37"/>
    </row>
    <row r="38" spans="1:14" x14ac:dyDescent="0.25">
      <c r="H38"/>
      <c r="I38"/>
      <c r="J38"/>
      <c r="N38"/>
    </row>
    <row r="39" spans="1:14" x14ac:dyDescent="0.25">
      <c r="H39"/>
      <c r="I39"/>
      <c r="J39"/>
      <c r="N39"/>
    </row>
    <row r="40" spans="1:14" x14ac:dyDescent="0.25">
      <c r="H40"/>
      <c r="I40"/>
      <c r="J40"/>
      <c r="N40"/>
    </row>
    <row r="41" spans="1:14" x14ac:dyDescent="0.25">
      <c r="H41"/>
      <c r="I41"/>
      <c r="J41"/>
      <c r="N41"/>
    </row>
    <row r="42" spans="1:14" x14ac:dyDescent="0.25">
      <c r="H42"/>
      <c r="I42"/>
      <c r="J42"/>
      <c r="N42"/>
    </row>
  </sheetData>
  <mergeCells count="8">
    <mergeCell ref="A1:N1"/>
    <mergeCell ref="N15:N16"/>
    <mergeCell ref="B32:B35"/>
    <mergeCell ref="B4:B7"/>
    <mergeCell ref="B8:B9"/>
    <mergeCell ref="B10:B12"/>
    <mergeCell ref="B14:B24"/>
    <mergeCell ref="B25:B31"/>
  </mergeCells>
  <hyperlinks>
    <hyperlink ref="G26" tooltip="Component" display="'Tag-Connect"/>
    <hyperlink ref="G4" tooltip="Component" display="'Yageo"/>
    <hyperlink ref="G5" tooltip="Component" display="'Taiyo Yuden"/>
    <hyperlink ref="G6" tooltip="Component" display="'Murata"/>
    <hyperlink ref="G7" tooltip="Component" display="'TDK"/>
    <hyperlink ref="G10" tooltip="Component" display="'ON Semiconductor"/>
    <hyperlink ref="G11" tooltip="Component" display="'ON Semiconductor / Fairchild"/>
    <hyperlink ref="G13" tooltip="Component" display="'Taiyo Yuden"/>
    <hyperlink ref="G33" tooltip="Component" display="'Texas Instruments"/>
    <hyperlink ref="G12" tooltip="Component" display="'Kingbright"/>
    <hyperlink ref="G14" tooltip="Component" display="'Yageo"/>
    <hyperlink ref="G15" tooltip="Component" display="'Yageo"/>
    <hyperlink ref="G16" tooltip="Component" display="'Yageo Phycomp"/>
    <hyperlink ref="G17" tooltip="Component" display="'Yageo"/>
    <hyperlink ref="G19" tooltip="Component" display="'Yageo"/>
    <hyperlink ref="G20" tooltip="Component" display="'Yageo"/>
    <hyperlink ref="G21" tooltip="Component" display="'Yageo"/>
    <hyperlink ref="G22" tooltip="Component" display="'Susumu"/>
    <hyperlink ref="G23" tooltip="Component" display="'Yageo"/>
    <hyperlink ref="G34" tooltip="Component" display="'Espressif Systems"/>
    <hyperlink ref="G24" tooltip="Component" display="'Yageo"/>
    <hyperlink ref="G8" tooltip="Component" display="'Diodes"/>
    <hyperlink ref="K4" r:id="rId1"/>
    <hyperlink ref="K5" r:id="rId2"/>
    <hyperlink ref="K6" r:id="rId3"/>
    <hyperlink ref="K7" r:id="rId4"/>
    <hyperlink ref="K8" r:id="rId5"/>
    <hyperlink ref="G9" tooltip="Component" display="'Diodes"/>
    <hyperlink ref="K9" r:id="rId6"/>
    <hyperlink ref="K10" r:id="rId7"/>
    <hyperlink ref="K15" r:id="rId8"/>
    <hyperlink ref="K16" r:id="rId9"/>
    <hyperlink ref="K17" r:id="rId10"/>
    <hyperlink ref="K18" r:id="rId11"/>
    <hyperlink ref="K19" r:id="rId12"/>
    <hyperlink ref="K20" r:id="rId13"/>
    <hyperlink ref="K21" r:id="rId14"/>
    <hyperlink ref="K22" r:id="rId15"/>
    <hyperlink ref="K31" r:id="rId16"/>
    <hyperlink ref="K32" r:id="rId17"/>
    <hyperlink ref="K33" r:id="rId18"/>
    <hyperlink ref="K35" r:id="rId19"/>
    <hyperlink ref="K34" r:id="rId20"/>
    <hyperlink ref="K11" r:id="rId21"/>
    <hyperlink ref="K12" r:id="rId22"/>
    <hyperlink ref="K13" r:id="rId23"/>
    <hyperlink ref="K14" r:id="rId24"/>
    <hyperlink ref="G31" tooltip="Component" display="'AMPHENOL ICC (FCI)"/>
    <hyperlink ref="K30" r:id="rId25"/>
    <hyperlink ref="K28" r:id="rId26"/>
    <hyperlink ref="K24" r:id="rId27"/>
    <hyperlink ref="K27" r:id="rId28"/>
    <hyperlink ref="K29" r:id="rId29"/>
    <hyperlink ref="K23" r:id="rId30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FRED_MIERING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Windows User</cp:lastModifiedBy>
  <dcterms:created xsi:type="dcterms:W3CDTF">2019-07-16T19:33:47Z</dcterms:created>
  <dcterms:modified xsi:type="dcterms:W3CDTF">2020-09-12T08:56:08Z</dcterms:modified>
</cp:coreProperties>
</file>