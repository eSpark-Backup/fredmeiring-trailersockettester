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vSol # 35\Dropbox\Fred Meiring\Embedded Dev\Hardware Designing\PCB - TrailerSocketTester v2.1\_Deliverable v2.1\BOM\"/>
    </mc:Choice>
  </mc:AlternateContent>
  <bookViews>
    <workbookView xWindow="0" yWindow="0" windowWidth="20490" windowHeight="7620"/>
  </bookViews>
  <sheets>
    <sheet name="FRED_MIERING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" i="1" l="1"/>
  <c r="N35" i="1" l="1"/>
  <c r="N31" i="1"/>
  <c r="N4" i="1" l="1"/>
  <c r="P4" i="1"/>
  <c r="P29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7" i="1"/>
  <c r="P28" i="1"/>
  <c r="P30" i="1"/>
  <c r="P31" i="1"/>
  <c r="P32" i="1"/>
  <c r="P33" i="1"/>
  <c r="P34" i="1"/>
  <c r="P35" i="1"/>
  <c r="N29" i="1" l="1"/>
  <c r="N30" i="1"/>
  <c r="N32" i="1"/>
  <c r="N33" i="1"/>
  <c r="N34" i="1"/>
  <c r="N28" i="1"/>
  <c r="N27" i="1"/>
  <c r="N24" i="1"/>
  <c r="N18" i="1"/>
  <c r="N19" i="1"/>
  <c r="N20" i="1"/>
  <c r="N21" i="1"/>
  <c r="N23" i="1"/>
  <c r="N17" i="1"/>
  <c r="N16" i="1"/>
  <c r="N15" i="1"/>
  <c r="N8" i="1"/>
  <c r="N9" i="1"/>
  <c r="N10" i="1"/>
  <c r="N11" i="1"/>
  <c r="N12" i="1"/>
  <c r="N13" i="1"/>
  <c r="N14" i="1"/>
  <c r="N5" i="1"/>
  <c r="N6" i="1"/>
  <c r="N7" i="1"/>
  <c r="J25" i="1" l="1"/>
  <c r="J26" i="1"/>
  <c r="N39" i="1" l="1"/>
  <c r="B4" i="1" l="1"/>
</calcChain>
</file>

<file path=xl/sharedStrings.xml><?xml version="1.0" encoding="utf-8"?>
<sst xmlns="http://schemas.openxmlformats.org/spreadsheetml/2006/main" count="287" uniqueCount="198">
  <si>
    <t>Description</t>
  </si>
  <si>
    <t>Designator</t>
  </si>
  <si>
    <t>Quantity</t>
  </si>
  <si>
    <t>Manufacturer Part Number</t>
  </si>
  <si>
    <t>TC2030-IDC</t>
  </si>
  <si>
    <t>J1</t>
  </si>
  <si>
    <t>Tag-Connect</t>
  </si>
  <si>
    <t>0.1uF</t>
  </si>
  <si>
    <t>C1, C4, C5, C6, C8, C10, C11, C12, C13</t>
  </si>
  <si>
    <t>Yageo</t>
  </si>
  <si>
    <t>1uF</t>
  </si>
  <si>
    <t>C9</t>
  </si>
  <si>
    <t>Taiyo Yuden</t>
  </si>
  <si>
    <t>UMK107AB7105KA-T</t>
  </si>
  <si>
    <t>4.7uF</t>
  </si>
  <si>
    <t>C2</t>
  </si>
  <si>
    <t>GRM188R61E475KE11D</t>
  </si>
  <si>
    <t>10uF</t>
  </si>
  <si>
    <t>C3, C7</t>
  </si>
  <si>
    <t>TDK</t>
  </si>
  <si>
    <t>J3</t>
  </si>
  <si>
    <t>USB1</t>
  </si>
  <si>
    <t>TPS63031DSKR</t>
  </si>
  <si>
    <t>U1</t>
  </si>
  <si>
    <t>D22</t>
  </si>
  <si>
    <t>ON Semiconductor</t>
  </si>
  <si>
    <t>D1, D2, D3, D4, D5, D6, D7, D8, D9</t>
  </si>
  <si>
    <t>L1</t>
  </si>
  <si>
    <t>BQ21040DBVR</t>
  </si>
  <si>
    <t>IC BAT CHG LI-ION 1 CELL SOT23-6</t>
  </si>
  <si>
    <t>U2</t>
  </si>
  <si>
    <t>Texas Instruments</t>
  </si>
  <si>
    <t>LED1, LED2</t>
  </si>
  <si>
    <t>DMP2045U-7</t>
  </si>
  <si>
    <t>Q3</t>
  </si>
  <si>
    <t>SOT23-3</t>
  </si>
  <si>
    <t>U4, U5, U6, U7, U8, U9, U10, U11, U12</t>
  </si>
  <si>
    <t>3.3K</t>
  </si>
  <si>
    <t>R3, R9, R10, R11, R12, R14, R15, R16, R17</t>
  </si>
  <si>
    <t>RC0603FR-073K3L</t>
  </si>
  <si>
    <t>10K</t>
  </si>
  <si>
    <t>R19</t>
  </si>
  <si>
    <t>R2, R4, R5</t>
  </si>
  <si>
    <t>100K</t>
  </si>
  <si>
    <t>R44</t>
  </si>
  <si>
    <t>120R</t>
  </si>
  <si>
    <t>R35, R36, R37, R38, R39, R40, R41</t>
  </si>
  <si>
    <t>R33</t>
  </si>
  <si>
    <t>200R</t>
  </si>
  <si>
    <t>R20, R21, R23, R24, R25, R26, R28, R29, R30</t>
  </si>
  <si>
    <t>330R</t>
  </si>
  <si>
    <t>R1L, R2L</t>
  </si>
  <si>
    <t>390R</t>
  </si>
  <si>
    <t>R6, R7, R8, R13, R18, R22, R27, R31, R32</t>
  </si>
  <si>
    <t>R1</t>
  </si>
  <si>
    <t>ESP32-WROOM-32</t>
  </si>
  <si>
    <t>SMD MODULE, ESP32-D0WDQ6, 32MBIT</t>
  </si>
  <si>
    <t>U3</t>
  </si>
  <si>
    <t>Espressif Systems</t>
  </si>
  <si>
    <t>Socket</t>
  </si>
  <si>
    <t>T1, T2, T3, T4, T5, T6, T7, T8, T9, T10, T11, T12, T13, T14, T15, T16, T17</t>
  </si>
  <si>
    <t>R34</t>
  </si>
  <si>
    <t>MMBT2222A-7-F</t>
  </si>
  <si>
    <t>Q1, Q2</t>
  </si>
  <si>
    <t>S. No.</t>
  </si>
  <si>
    <t>Value</t>
  </si>
  <si>
    <t>CommentType</t>
  </si>
  <si>
    <t>Manufacturer</t>
  </si>
  <si>
    <t>Footprint (Package)</t>
  </si>
  <si>
    <t>Link</t>
  </si>
  <si>
    <t>Remarks</t>
  </si>
  <si>
    <t>Diode</t>
  </si>
  <si>
    <t>Resistor</t>
  </si>
  <si>
    <t>Inductor</t>
  </si>
  <si>
    <t>Connector</t>
  </si>
  <si>
    <t>IC</t>
  </si>
  <si>
    <t>Transistor</t>
  </si>
  <si>
    <t>---</t>
  </si>
  <si>
    <t>----</t>
  </si>
  <si>
    <t>0603 (1608 Metric)</t>
  </si>
  <si>
    <t>Diodes Incorporated</t>
  </si>
  <si>
    <t>SOD-123FL</t>
  </si>
  <si>
    <t>SOD323F</t>
  </si>
  <si>
    <t>0805 (2012 Metric) </t>
  </si>
  <si>
    <t xml:space="preserve">Yageo </t>
  </si>
  <si>
    <t>2512 (6432 Metric)</t>
  </si>
  <si>
    <t>Custom(SMD)</t>
  </si>
  <si>
    <t>Through Hole(2.00mm)</t>
  </si>
  <si>
    <t>JST Sales America Inc.</t>
  </si>
  <si>
    <t>USB_Micro_B(SMD)</t>
  </si>
  <si>
    <t>SOT-23-6</t>
  </si>
  <si>
    <t>10-SON</t>
  </si>
  <si>
    <t>MOSFET P-Channel 24V SOT23</t>
  </si>
  <si>
    <t>Converter DC-DC 1.8V to 5.5V Non-Inv/Inv/Step Up/Step Down Single-Out 3.3V 0.8A 10-Pin 10-SON</t>
  </si>
  <si>
    <t>Bill Of Material (BOM) for FRED MEIRING</t>
  </si>
  <si>
    <t>Do Not Mount</t>
  </si>
  <si>
    <t>Diode Schottky 20V 1A SOD123FL</t>
  </si>
  <si>
    <t>Diode Zener 3.3V 200MW SOD323F</t>
  </si>
  <si>
    <t>LED Blue Clear Chip SMD</t>
  </si>
  <si>
    <t>Connector USB Micro-B Receptacle SMD R/A</t>
  </si>
  <si>
    <t>Optoisolator Transistor SMD</t>
  </si>
  <si>
    <t>Cable Adapter 6 Position</t>
  </si>
  <si>
    <t>Total Quantity</t>
  </si>
  <si>
    <t>B13B-PH-K-S(LF)(SN)</t>
  </si>
  <si>
    <t>Through Hole(2.0mm)</t>
  </si>
  <si>
    <t>CONN HEADER VERT 13POS 2MM</t>
  </si>
  <si>
    <t>CONN HEADER VERT 2POS 2MM</t>
  </si>
  <si>
    <t>B2B-PH-K-S(LF)(SN)</t>
  </si>
  <si>
    <t xml:space="preserve">Total Component Cost </t>
  </si>
  <si>
    <t>Custom Charges</t>
  </si>
  <si>
    <t>Shipping Charges</t>
  </si>
  <si>
    <t xml:space="preserve">Total </t>
  </si>
  <si>
    <t xml:space="preserve">Notes: </t>
  </si>
  <si>
    <t>1- The costing is done for Five (5) boards. All components will be calculated with multiplication factor Five (5).</t>
  </si>
  <si>
    <t xml:space="preserve">2- Supplier costing and custom charges are added in the final cost. </t>
  </si>
  <si>
    <t>J2,J2#</t>
  </si>
  <si>
    <t>These two resistors are off same value(10K) but different in package (1 is of 0805 &amp; 3 is of 0603). But these Ambiguity still not solved in the design.</t>
  </si>
  <si>
    <t>CONN HOUSING PH 2POS 2MM WHITE</t>
  </si>
  <si>
    <t>PHR-2</t>
  </si>
  <si>
    <t>JST Sales America Inc</t>
  </si>
  <si>
    <t>PHR-13</t>
  </si>
  <si>
    <t>CONN HOUSING PH 13POS 2MM WHITE</t>
  </si>
  <si>
    <t>LCSC</t>
  </si>
  <si>
    <t>Approved By Faizi - MOQ 50</t>
  </si>
  <si>
    <t>Approved By Faizi - MOQ 20</t>
  </si>
  <si>
    <t>Approved By Faizi - MOQ 10</t>
  </si>
  <si>
    <t>Added By Faizi - MOQ 20</t>
  </si>
  <si>
    <t>Added By Faizi - MOQ 10</t>
  </si>
  <si>
    <t>Approved By Faizi - MOQ 100</t>
  </si>
  <si>
    <t xml:space="preserve">Changed By Faizi - MOQ </t>
  </si>
  <si>
    <t>Changed By Faizi - MOQ 100</t>
  </si>
  <si>
    <t>Changed By Faizi - MOQ 50</t>
  </si>
  <si>
    <t>Value of resistance changed due to non-availability</t>
  </si>
  <si>
    <t>49.9K</t>
  </si>
  <si>
    <t>Approved By Faizi - MOQ 5</t>
  </si>
  <si>
    <t>Approved By Faizi - MOQ 1</t>
  </si>
  <si>
    <t>LCSC Quantity</t>
  </si>
  <si>
    <t>Added By Faizi - MOQ 11</t>
  </si>
  <si>
    <t>Unit Price (LCSC)</t>
  </si>
  <si>
    <t>Total Price (LCSC)</t>
  </si>
  <si>
    <t>$0.10</t>
  </si>
  <si>
    <t>Unit Price (Digikey)</t>
  </si>
  <si>
    <t>Total Price (Digikey)</t>
  </si>
  <si>
    <t>Capacitor Ceramic 100nF ±20% 50V Y5V 0603</t>
  </si>
  <si>
    <t>0603F104M500NT</t>
  </si>
  <si>
    <t>FH(Guangdong Fenghua Advanced Tech)</t>
  </si>
  <si>
    <t>Murata Electronics</t>
  </si>
  <si>
    <t>C1608X5R1E106MT000E</t>
  </si>
  <si>
    <t>Capacitor Ceramic 10uF ±20% 25V X5R 0603</t>
  </si>
  <si>
    <t>Capacitor Ceramic 4.7uF ±10% 25V X5R 0603</t>
  </si>
  <si>
    <t>Capacitor Ceramic 1uF ±10% 50V X7R 0603</t>
  </si>
  <si>
    <t>NPN 600mA 40V 310mW SOT-23</t>
  </si>
  <si>
    <t>MBR120ESFT1G</t>
  </si>
  <si>
    <t xml:space="preserve"> MM3Z3V3CW</t>
  </si>
  <si>
    <t>19-21/BHC-AN1P2/3T</t>
  </si>
  <si>
    <t>Resistor SMD 3.3K ±1% 1/10W ±100ppm/℃ 0603</t>
  </si>
  <si>
    <t>RT0805BRD0710KL</t>
  </si>
  <si>
    <t xml:space="preserve">Resistor SMD 10K ±0.1% 1/8W 0805 </t>
  </si>
  <si>
    <t>AC0603FR-0710KL</t>
  </si>
  <si>
    <t xml:space="preserve"> Everlight Elec</t>
  </si>
  <si>
    <t xml:space="preserve"> Tak Cheong</t>
  </si>
  <si>
    <t>Resistor SMD 10K ±1% 1/10W ±100ppm/℃ 0603</t>
  </si>
  <si>
    <t>CR0603FA1003G</t>
  </si>
  <si>
    <t>LIZ Elec</t>
  </si>
  <si>
    <t>Resistor SMD 100K ±1% 1/10W ±100ppm/℃ 0603</t>
  </si>
  <si>
    <t>RMC25121205%N</t>
  </si>
  <si>
    <t>Resistor SMD 120 ±5% 1W 2512</t>
  </si>
  <si>
    <t>TyoHM</t>
  </si>
  <si>
    <t>Resistor SMD 130K ±1% 1/10W ±100ppm/℃ 0603</t>
  </si>
  <si>
    <t>RC0603FR-07130KL</t>
  </si>
  <si>
    <t>130K</t>
  </si>
  <si>
    <t>Resistor SMD 200 ±1% 1/10W ±100ppm/℃ 0603</t>
  </si>
  <si>
    <t>RTT032000FTP</t>
  </si>
  <si>
    <t>RALEC</t>
  </si>
  <si>
    <t>Resistor SMD 330 ±0.5% 1/10W ±50ppm/°C 0603</t>
  </si>
  <si>
    <t xml:space="preserve"> ERJ3RBD331V</t>
  </si>
  <si>
    <t>PANASONIC</t>
  </si>
  <si>
    <t>Thin Film Resistors - 49.9K ±1% 1/10W ±100ppm/℃ 0603</t>
  </si>
  <si>
    <t>RC0603FR-0749K9L</t>
  </si>
  <si>
    <t>PS2801C-1-F3-A</t>
  </si>
  <si>
    <t>RENESAS</t>
  </si>
  <si>
    <t xml:space="preserve"> SOP-4</t>
  </si>
  <si>
    <t>Approved By Electron - MOQ 5</t>
  </si>
  <si>
    <t>CRW1218F390RE04Z</t>
  </si>
  <si>
    <t>Ever Ohms Tech</t>
  </si>
  <si>
    <t>Resistor SMD 390 ±1% 1W ±100ppm/℃ 1218</t>
  </si>
  <si>
    <t>1218 (3245 Metric)</t>
  </si>
  <si>
    <t>YNR6028-1R5N</t>
  </si>
  <si>
    <t>YJYCOIN</t>
  </si>
  <si>
    <t>Fixed Inductor 1.5uH ±30% 3.7A 21mΩ</t>
  </si>
  <si>
    <t>C10418</t>
  </si>
  <si>
    <t xml:space="preserve"> Jing Extension of the Electronic Co.</t>
  </si>
  <si>
    <t>Approed By Faizi - MOQ 5</t>
  </si>
  <si>
    <t>Need to change Watt in production</t>
  </si>
  <si>
    <t>665R</t>
  </si>
  <si>
    <t>665Ω ±1% 0.1W ±100ppm/℃ 0603 Chip Resistor - Surface Mount RoHS</t>
  </si>
  <si>
    <t xml:space="preserve">0603WAF6650T5E
</t>
  </si>
  <si>
    <t>UNI-ROYAL(Uniroyal Elec)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</si>
</sst>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&quot;$&quot;#,##0.000_);[Red]\(&quot;$&quot;#,##0.000\)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quotePrefix="1" applyFont="1" applyFill="1" applyBorder="1"/>
    <xf numFmtId="0" fontId="0" fillId="0" borderId="0" xfId="0" applyBorder="1"/>
    <xf numFmtId="0" fontId="0" fillId="0" borderId="0" xfId="0" applyAlignment="1">
      <alignment wrapText="1"/>
    </xf>
    <xf numFmtId="0" fontId="8" fillId="2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0" borderId="1" xfId="0" quotePrefix="1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/>
    </xf>
    <xf numFmtId="0" fontId="4" fillId="0" borderId="1" xfId="1" quotePrefix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6" fontId="5" fillId="2" borderId="3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wrapText="1"/>
    </xf>
    <xf numFmtId="0" fontId="4" fillId="0" borderId="7" xfId="0" quotePrefix="1" applyFont="1" applyFill="1" applyBorder="1" applyAlignment="1"/>
    <xf numFmtId="0" fontId="4" fillId="0" borderId="7" xfId="0" quotePrefix="1" applyFont="1" applyFill="1" applyBorder="1" applyAlignment="1">
      <alignment horizontal="center" vertical="center"/>
    </xf>
    <xf numFmtId="0" fontId="4" fillId="0" borderId="7" xfId="1" quotePrefix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8" fontId="0" fillId="0" borderId="7" xfId="0" applyNumberFormat="1" applyBorder="1" applyAlignment="1">
      <alignment horizontal="center" vertical="center"/>
    </xf>
    <xf numFmtId="0" fontId="4" fillId="0" borderId="9" xfId="0" quotePrefix="1" applyFont="1" applyFill="1" applyBorder="1"/>
    <xf numFmtId="0" fontId="4" fillId="0" borderId="9" xfId="0" quotePrefix="1" applyFont="1" applyFill="1" applyBorder="1" applyAlignment="1">
      <alignment horizontal="center" vertical="center"/>
    </xf>
    <xf numFmtId="0" fontId="4" fillId="0" borderId="9" xfId="1" quotePrefix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1" fillId="0" borderId="9" xfId="1" applyFill="1" applyBorder="1" applyAlignment="1">
      <alignment horizontal="center" vertical="center"/>
    </xf>
    <xf numFmtId="0" fontId="4" fillId="0" borderId="7" xfId="0" quotePrefix="1" applyFont="1" applyFill="1" applyBorder="1"/>
    <xf numFmtId="49" fontId="4" fillId="0" borderId="7" xfId="0" quotePrefix="1" applyNumberFormat="1" applyFont="1" applyFill="1" applyBorder="1" applyAlignment="1">
      <alignment horizontal="center" vertical="center"/>
    </xf>
    <xf numFmtId="49" fontId="4" fillId="0" borderId="9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2" borderId="18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22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wrapText="1"/>
    </xf>
    <xf numFmtId="0" fontId="4" fillId="0" borderId="7" xfId="0" quotePrefix="1" applyFont="1" applyFill="1" applyBorder="1" applyAlignment="1">
      <alignment wrapText="1"/>
    </xf>
    <xf numFmtId="0" fontId="4" fillId="0" borderId="9" xfId="0" quotePrefix="1" applyFont="1" applyFill="1" applyBorder="1" applyAlignment="1">
      <alignment wrapText="1"/>
    </xf>
    <xf numFmtId="165" fontId="0" fillId="0" borderId="7" xfId="0" applyNumberFormat="1" applyBorder="1" applyAlignment="1">
      <alignment horizontal="right" vertical="center"/>
    </xf>
    <xf numFmtId="165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 wrapText="1"/>
    </xf>
    <xf numFmtId="49" fontId="1" fillId="4" borderId="1" xfId="1" quotePrefix="1" applyNumberFormat="1" applyFill="1" applyBorder="1" applyAlignment="1">
      <alignment horizontal="center" vertical="center"/>
    </xf>
    <xf numFmtId="8" fontId="0" fillId="4" borderId="1" xfId="0" applyNumberFormat="1" applyFill="1" applyBorder="1" applyAlignment="1">
      <alignment horizontal="center" vertical="center"/>
    </xf>
    <xf numFmtId="8" fontId="0" fillId="4" borderId="23" xfId="0" applyNumberForma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vertical="center"/>
    </xf>
    <xf numFmtId="0" fontId="4" fillId="4" borderId="1" xfId="0" quotePrefix="1" applyFont="1" applyFill="1" applyBorder="1" applyAlignment="1">
      <alignment horizontal="center" vertical="center"/>
    </xf>
    <xf numFmtId="0" fontId="4" fillId="4" borderId="1" xfId="1" quotePrefix="1" applyFont="1" applyFill="1" applyBorder="1" applyAlignment="1">
      <alignment horizontal="center" vertical="center"/>
    </xf>
    <xf numFmtId="49" fontId="4" fillId="4" borderId="1" xfId="0" quotePrefix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 wrapText="1"/>
    </xf>
    <xf numFmtId="0" fontId="4" fillId="4" borderId="1" xfId="0" quotePrefix="1" applyFont="1" applyFill="1" applyBorder="1"/>
    <xf numFmtId="165" fontId="0" fillId="4" borderId="1" xfId="0" applyNumberForma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center" vertical="center"/>
    </xf>
    <xf numFmtId="6" fontId="5" fillId="2" borderId="0" xfId="0" applyNumberFormat="1" applyFont="1" applyFill="1" applyBorder="1" applyAlignment="1">
      <alignment horizontal="center"/>
    </xf>
    <xf numFmtId="8" fontId="0" fillId="0" borderId="1" xfId="0" applyNumberFormat="1" applyBorder="1" applyAlignment="1">
      <alignment horizontal="center" vertical="center"/>
    </xf>
    <xf numFmtId="8" fontId="0" fillId="0" borderId="9" xfId="0" applyNumberFormat="1" applyBorder="1" applyAlignment="1">
      <alignment horizontal="center" vertical="center"/>
    </xf>
    <xf numFmtId="0" fontId="1" fillId="0" borderId="30" xfId="1" applyFill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8" fontId="0" fillId="0" borderId="28" xfId="0" applyNumberFormat="1" applyBorder="1" applyAlignment="1">
      <alignment horizontal="center" vertical="center"/>
    </xf>
    <xf numFmtId="0" fontId="4" fillId="4" borderId="9" xfId="0" quotePrefix="1" applyFont="1" applyFill="1" applyBorder="1" applyAlignment="1">
      <alignment horizontal="center" vertical="center"/>
    </xf>
    <xf numFmtId="0" fontId="4" fillId="4" borderId="9" xfId="1" quotePrefix="1" applyFont="1" applyFill="1" applyBorder="1" applyAlignment="1">
      <alignment horizontal="center" vertical="center"/>
    </xf>
    <xf numFmtId="49" fontId="4" fillId="4" borderId="9" xfId="0" quotePrefix="1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4" fillId="4" borderId="9" xfId="0" quotePrefix="1" applyFont="1" applyFill="1" applyBorder="1" applyAlignment="1">
      <alignment wrapText="1"/>
    </xf>
    <xf numFmtId="0" fontId="4" fillId="4" borderId="9" xfId="0" quotePrefix="1" applyFont="1" applyFill="1" applyBorder="1"/>
    <xf numFmtId="8" fontId="0" fillId="4" borderId="29" xfId="0" applyNumberFormat="1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 wrapText="1"/>
    </xf>
    <xf numFmtId="0" fontId="4" fillId="4" borderId="32" xfId="0" quotePrefix="1" applyFont="1" applyFill="1" applyBorder="1" applyAlignment="1">
      <alignment vertical="center" wrapText="1"/>
    </xf>
    <xf numFmtId="0" fontId="4" fillId="4" borderId="32" xfId="0" quotePrefix="1" applyFont="1" applyFill="1" applyBorder="1" applyAlignment="1">
      <alignment wrapText="1"/>
    </xf>
    <xf numFmtId="0" fontId="4" fillId="4" borderId="1" xfId="0" quotePrefix="1" applyFont="1" applyFill="1" applyBorder="1" applyAlignment="1">
      <alignment wrapText="1"/>
    </xf>
    <xf numFmtId="165" fontId="0" fillId="4" borderId="1" xfId="0" applyNumberFormat="1" applyFill="1" applyBorder="1"/>
    <xf numFmtId="165" fontId="0" fillId="4" borderId="0" xfId="0" applyNumberFormat="1" applyFill="1" applyAlignment="1">
      <alignment horizontal="right" vertical="center"/>
    </xf>
    <xf numFmtId="165" fontId="0" fillId="4" borderId="30" xfId="0" applyNumberForma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1" fillId="4" borderId="29" xfId="1" applyFill="1" applyBorder="1" applyAlignment="1">
      <alignment horizontal="center" vertical="center"/>
    </xf>
    <xf numFmtId="165" fontId="0" fillId="4" borderId="0" xfId="0" applyNumberFormat="1" applyFill="1"/>
    <xf numFmtId="165" fontId="0" fillId="4" borderId="29" xfId="0" applyNumberFormat="1" applyFill="1" applyBorder="1" applyAlignment="1">
      <alignment horizontal="center" vertical="center"/>
    </xf>
    <xf numFmtId="0" fontId="4" fillId="4" borderId="9" xfId="0" quotePrefix="1" applyFont="1" applyFill="1" applyBorder="1" applyAlignment="1">
      <alignment vertical="center" wrapText="1"/>
    </xf>
    <xf numFmtId="165" fontId="0" fillId="4" borderId="9" xfId="0" applyNumberFormat="1" applyFill="1" applyBorder="1" applyAlignment="1">
      <alignment vertical="center"/>
    </xf>
    <xf numFmtId="8" fontId="0" fillId="4" borderId="9" xfId="0" applyNumberForma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0" fontId="9" fillId="4" borderId="10" xfId="0" quotePrefix="1" applyFont="1" applyFill="1" applyBorder="1" applyAlignment="1">
      <alignment vertical="center" wrapText="1"/>
    </xf>
    <xf numFmtId="0" fontId="9" fillId="4" borderId="7" xfId="0" quotePrefix="1" applyFont="1" applyFill="1" applyBorder="1" applyAlignment="1">
      <alignment vertical="center" wrapText="1"/>
    </xf>
    <xf numFmtId="0" fontId="9" fillId="4" borderId="7" xfId="0" quotePrefix="1" applyFont="1" applyFill="1" applyBorder="1" applyAlignment="1">
      <alignment horizontal="center" vertical="center" wrapText="1"/>
    </xf>
    <xf numFmtId="49" fontId="6" fillId="4" borderId="7" xfId="0" quotePrefix="1" applyNumberFormat="1" applyFont="1" applyFill="1" applyBorder="1" applyAlignment="1">
      <alignment horizontal="center" vertical="center"/>
    </xf>
    <xf numFmtId="49" fontId="6" fillId="4" borderId="19" xfId="0" quotePrefix="1" applyNumberFormat="1" applyFont="1" applyFill="1" applyBorder="1" applyAlignment="1">
      <alignment horizontal="center" vertical="center"/>
    </xf>
    <xf numFmtId="0" fontId="9" fillId="4" borderId="12" xfId="0" quotePrefix="1" applyFont="1" applyFill="1" applyBorder="1" applyAlignment="1">
      <alignment horizontal="center" vertical="center" wrapText="1"/>
    </xf>
    <xf numFmtId="0" fontId="9" fillId="4" borderId="32" xfId="0" quotePrefix="1" applyFont="1" applyFill="1" applyBorder="1" applyAlignment="1">
      <alignment vertical="center" wrapText="1"/>
    </xf>
    <xf numFmtId="0" fontId="9" fillId="4" borderId="1" xfId="0" quotePrefix="1" applyFont="1" applyFill="1" applyBorder="1" applyAlignment="1">
      <alignment vertical="center" wrapText="1"/>
    </xf>
    <xf numFmtId="0" fontId="9" fillId="4" borderId="1" xfId="0" quotePrefix="1" applyFont="1" applyFill="1" applyBorder="1" applyAlignment="1">
      <alignment horizontal="center" vertical="center" wrapText="1"/>
    </xf>
    <xf numFmtId="49" fontId="6" fillId="4" borderId="1" xfId="0" quotePrefix="1" applyNumberFormat="1" applyFont="1" applyFill="1" applyBorder="1" applyAlignment="1">
      <alignment horizontal="center" vertical="center"/>
    </xf>
    <xf numFmtId="0" fontId="9" fillId="4" borderId="23" xfId="0" quotePrefix="1" applyFont="1" applyFill="1" applyBorder="1" applyAlignment="1">
      <alignment horizontal="center" vertical="center" wrapText="1"/>
    </xf>
    <xf numFmtId="0" fontId="4" fillId="4" borderId="13" xfId="0" quotePrefix="1" applyFont="1" applyFill="1" applyBorder="1" applyAlignment="1">
      <alignment vertical="center" wrapText="1"/>
    </xf>
    <xf numFmtId="0" fontId="4" fillId="4" borderId="9" xfId="0" quotePrefix="1" applyFont="1" applyFill="1" applyBorder="1" applyAlignment="1">
      <alignment horizontal="center" vertical="center" wrapText="1"/>
    </xf>
    <xf numFmtId="165" fontId="0" fillId="4" borderId="9" xfId="0" applyNumberFormat="1" applyFill="1" applyBorder="1" applyAlignment="1">
      <alignment horizontal="right" vertical="center"/>
    </xf>
    <xf numFmtId="165" fontId="0" fillId="4" borderId="9" xfId="0" applyNumberFormat="1" applyFill="1" applyBorder="1" applyAlignment="1">
      <alignment horizontal="center" vertical="center"/>
    </xf>
    <xf numFmtId="0" fontId="4" fillId="4" borderId="29" xfId="0" quotePrefix="1" applyFont="1" applyFill="1" applyBorder="1" applyAlignment="1">
      <alignment vertical="center" wrapText="1"/>
    </xf>
    <xf numFmtId="0" fontId="4" fillId="4" borderId="29" xfId="0" quotePrefix="1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4" fillId="4" borderId="29" xfId="1" quotePrefix="1" applyFont="1" applyFill="1" applyBorder="1" applyAlignment="1">
      <alignment horizontal="center" vertical="center"/>
    </xf>
    <xf numFmtId="49" fontId="4" fillId="4" borderId="29" xfId="0" quotePrefix="1" applyNumberFormat="1" applyFont="1" applyFill="1" applyBorder="1" applyAlignment="1">
      <alignment horizontal="center" vertical="center"/>
    </xf>
    <xf numFmtId="8" fontId="0" fillId="4" borderId="7" xfId="0" applyNumberFormat="1" applyFill="1" applyBorder="1" applyAlignment="1">
      <alignment horizontal="center" vertical="center"/>
    </xf>
    <xf numFmtId="0" fontId="4" fillId="4" borderId="7" xfId="0" quotePrefix="1" applyFont="1" applyFill="1" applyBorder="1" applyAlignment="1">
      <alignment wrapText="1"/>
    </xf>
    <xf numFmtId="0" fontId="4" fillId="4" borderId="7" xfId="0" quotePrefix="1" applyFont="1" applyFill="1" applyBorder="1"/>
    <xf numFmtId="0" fontId="4" fillId="4" borderId="7" xfId="0" quotePrefix="1" applyFont="1" applyFill="1" applyBorder="1" applyAlignment="1">
      <alignment horizontal="center" vertical="center"/>
    </xf>
    <xf numFmtId="0" fontId="4" fillId="4" borderId="7" xfId="1" quotePrefix="1" applyFont="1" applyFill="1" applyBorder="1" applyAlignment="1">
      <alignment horizontal="center" vertical="center"/>
    </xf>
    <xf numFmtId="49" fontId="4" fillId="4" borderId="7" xfId="0" quotePrefix="1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4" borderId="7" xfId="1" applyFill="1" applyBorder="1" applyAlignment="1">
      <alignment horizontal="center" vertical="center"/>
    </xf>
    <xf numFmtId="165" fontId="0" fillId="4" borderId="7" xfId="0" applyNumberFormat="1" applyFill="1" applyBorder="1" applyAlignment="1">
      <alignment horizontal="right" vertical="center"/>
    </xf>
    <xf numFmtId="0" fontId="0" fillId="4" borderId="12" xfId="0" applyFill="1" applyBorder="1" applyAlignment="1">
      <alignment horizontal="center" vertical="center" wrapText="1"/>
    </xf>
    <xf numFmtId="0" fontId="4" fillId="4" borderId="1" xfId="0" quotePrefix="1" applyFont="1" applyFill="1" applyBorder="1" applyAlignment="1"/>
    <xf numFmtId="0" fontId="4" fillId="4" borderId="15" xfId="0" quotePrefix="1" applyFont="1" applyFill="1" applyBorder="1" applyAlignment="1">
      <alignment wrapText="1"/>
    </xf>
    <xf numFmtId="0" fontId="4" fillId="4" borderId="15" xfId="0" quotePrefix="1" applyFont="1" applyFill="1" applyBorder="1"/>
    <xf numFmtId="0" fontId="4" fillId="4" borderId="15" xfId="0" quotePrefix="1" applyFont="1" applyFill="1" applyBorder="1" applyAlignment="1">
      <alignment horizontal="center" vertical="center"/>
    </xf>
    <xf numFmtId="0" fontId="4" fillId="4" borderId="15" xfId="1" quotePrefix="1" applyFont="1" applyFill="1" applyBorder="1" applyAlignment="1">
      <alignment horizontal="center" vertical="center"/>
    </xf>
    <xf numFmtId="49" fontId="4" fillId="4" borderId="15" xfId="0" quotePrefix="1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1" fillId="4" borderId="15" xfId="1" applyFill="1" applyBorder="1" applyAlignment="1">
      <alignment horizontal="center" vertical="center"/>
    </xf>
    <xf numFmtId="8" fontId="0" fillId="4" borderId="15" xfId="0" applyNumberFormat="1" applyFill="1" applyBorder="1" applyAlignment="1">
      <alignment horizontal="center" vertical="center"/>
    </xf>
    <xf numFmtId="0" fontId="4" fillId="4" borderId="7" xfId="0" quotePrefix="1" applyFont="1" applyFill="1" applyBorder="1" applyAlignment="1">
      <alignment horizontal="left"/>
    </xf>
    <xf numFmtId="0" fontId="4" fillId="5" borderId="1" xfId="0" quotePrefix="1" applyFont="1" applyFill="1" applyBorder="1" applyAlignment="1"/>
    <xf numFmtId="0" fontId="4" fillId="5" borderId="1" xfId="0" quotePrefix="1" applyFont="1" applyFill="1" applyBorder="1" applyAlignment="1">
      <alignment horizontal="center" vertical="center"/>
    </xf>
    <xf numFmtId="0" fontId="4" fillId="5" borderId="1" xfId="1" quotePrefix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1" fillId="5" borderId="28" xfId="1" applyFill="1" applyBorder="1" applyAlignment="1">
      <alignment horizontal="center" vertical="center"/>
    </xf>
    <xf numFmtId="165" fontId="0" fillId="5" borderId="0" xfId="0" applyNumberFormat="1" applyFill="1"/>
    <xf numFmtId="165" fontId="0" fillId="5" borderId="28" xfId="0" applyNumberFormat="1" applyFill="1" applyBorder="1" applyAlignment="1">
      <alignment horizontal="center" vertical="center"/>
    </xf>
    <xf numFmtId="8" fontId="0" fillId="5" borderId="1" xfId="0" applyNumberFormat="1" applyFill="1" applyBorder="1" applyAlignment="1">
      <alignment horizontal="center" vertical="center"/>
    </xf>
    <xf numFmtId="8" fontId="0" fillId="5" borderId="7" xfId="0" applyNumberForma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3" fillId="0" borderId="24" xfId="0" quotePrefix="1" applyFont="1" applyBorder="1" applyAlignment="1">
      <alignment horizontal="center" vertical="center"/>
    </xf>
    <xf numFmtId="0" fontId="3" fillId="0" borderId="25" xfId="0" quotePrefix="1" applyFont="1" applyBorder="1" applyAlignment="1">
      <alignment horizontal="center" vertical="center"/>
    </xf>
    <xf numFmtId="0" fontId="3" fillId="0" borderId="26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park/Desktop/CSP-Latest/CSPMB01_v100_AD18/_BOM/CSPMB01_REV099_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ized"/>
    </sheetNames>
    <sheetDataSet>
      <sheetData sheetId="0">
        <row r="23">
          <cell r="B23" t="str">
            <v>Capacitor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Power-Inductors_YJYCOIN-YNR6028-1R5N_C341052.html" TargetMode="External"/><Relationship Id="rId13" Type="http://schemas.openxmlformats.org/officeDocument/2006/relationships/hyperlink" Target="https://lcsc.com/product-detail/Chip-Resistor-Surface-Mount_TyoHM-RMC25121205-N_C269347.html" TargetMode="External"/><Relationship Id="rId18" Type="http://schemas.openxmlformats.org/officeDocument/2006/relationships/hyperlink" Target="https://lcsc.com/product-detail/Wire-To-Board-Wire-To-Wire-Connector_JST-Sales-America_B2B-PH-K-S-LF-SN_JST-Sales-America-B2B-PH-K-S-LF-SN_C131337.html" TargetMode="External"/><Relationship Id="rId26" Type="http://schemas.openxmlformats.org/officeDocument/2006/relationships/hyperlink" Target="https://lcsc.com/product-detail/WIFI-Modules_ESP-WROOM-32_C95209.html" TargetMode="External"/><Relationship Id="rId3" Type="http://schemas.openxmlformats.org/officeDocument/2006/relationships/hyperlink" Target="https://lcsc.com/product-detail/Multilayer-Ceramic-Capacitors-MLCC-SMD-SMT_Murata-Electronics-GRM188R61E475KE11D_C90057.html" TargetMode="External"/><Relationship Id="rId21" Type="http://schemas.openxmlformats.org/officeDocument/2006/relationships/hyperlink" Target="https://lcsc.com/product-detail/DC-DC-Converters_Texas-Instruments_TPS63031DSKR_Texas-Instruments-Texas-Instruments-TPS63031DSKR_C15516.html" TargetMode="External"/><Relationship Id="rId7" Type="http://schemas.openxmlformats.org/officeDocument/2006/relationships/hyperlink" Target="https://lcsc.com/product-detail/Others_Tak-Cheong-MM3Z3V3CW_C248774.html" TargetMode="External"/><Relationship Id="rId12" Type="http://schemas.openxmlformats.org/officeDocument/2006/relationships/hyperlink" Target="https://lcsc.com/product-detail/Chip-Resistor-Surface-Mount_100KR-1003-1_C100703.html" TargetMode="External"/><Relationship Id="rId17" Type="http://schemas.openxmlformats.org/officeDocument/2006/relationships/hyperlink" Target="https://lcsc.com/product-detail/Rectangular-Connectors-Housings_JST-Sales-America_PHR-2_JST-Sales-America-PHR-2_C157955.html" TargetMode="External"/><Relationship Id="rId25" Type="http://schemas.openxmlformats.org/officeDocument/2006/relationships/hyperlink" Target="https://lcsc.com/product-detail/Chip-Resistor-Surface-Mount_49-9KR-4992-1_C114624.html" TargetMode="External"/><Relationship Id="rId2" Type="http://schemas.openxmlformats.org/officeDocument/2006/relationships/hyperlink" Target="https://lcsc.com/product-detail/Multilayer-Ceramic-Capacitors-MLCC-SMD-SMT_TAIYO-YUDEN_UMK107AB7105KA-T_1uF-105-10-50V_C105174.html" TargetMode="External"/><Relationship Id="rId16" Type="http://schemas.openxmlformats.org/officeDocument/2006/relationships/hyperlink" Target="https://lcsc.com/product-detail/Chip-Resistor-Surface-Mount_PANASONIC-ERJ3RBD331V_C416701.html" TargetMode="External"/><Relationship Id="rId20" Type="http://schemas.openxmlformats.org/officeDocument/2006/relationships/hyperlink" Target="https://lcsc.com/product-detail/Wire-To-Board-Wire-To-Wire-Connector_JST-Sales-America_B13B-PH-K-S-LF-SN_JST-Sales-America-B13B-PH-K-S-LF-SN_C158026.html" TargetMode="External"/><Relationship Id="rId29" Type="http://schemas.openxmlformats.org/officeDocument/2006/relationships/hyperlink" Target="https://lcsc.com/product-detail/Chip-Resistor-Surface-Mount_Ever-Ohms-Tech-CR1218F390RE04_C175553.html" TargetMode="External"/><Relationship Id="rId1" Type="http://schemas.openxmlformats.org/officeDocument/2006/relationships/hyperlink" Target="https://lcsc.com/product-detail/Multilayer-Ceramic-Capacitors-MLCC-SMD-SMT_FH-Guangdong-Fenghua-Advanced-Tech-0603F104M500NT_C42998.html" TargetMode="External"/><Relationship Id="rId6" Type="http://schemas.openxmlformats.org/officeDocument/2006/relationships/hyperlink" Target="https://lcsc.com/product-detail/MOSFET_Diodes-Incorporated-DMP2045U-7_C459541.html" TargetMode="External"/><Relationship Id="rId11" Type="http://schemas.openxmlformats.org/officeDocument/2006/relationships/hyperlink" Target="https://lcsc.com/product-detail/Chip-Resistor-Surface-Mount_10KR-1002-1_C116677.html" TargetMode="External"/><Relationship Id="rId24" Type="http://schemas.openxmlformats.org/officeDocument/2006/relationships/hyperlink" Target="https://lcsc.com/product-detail/Others_Everlight-Elec-19-21-BHC-AN1P2-3T_C282129.html" TargetMode="External"/><Relationship Id="rId5" Type="http://schemas.openxmlformats.org/officeDocument/2006/relationships/hyperlink" Target="https://lcsc.com/product-detail/Transistors-NPN-PNP_DIODES_MMBT2222A-7-F_MMBT2222A-7-F_C94515.html" TargetMode="External"/><Relationship Id="rId15" Type="http://schemas.openxmlformats.org/officeDocument/2006/relationships/hyperlink" Target="https://lcsc.com/product-detail/Chip-Resistor-Surface-Mount_200R-2000-1_C103389.html" TargetMode="External"/><Relationship Id="rId23" Type="http://schemas.openxmlformats.org/officeDocument/2006/relationships/hyperlink" Target="https://lcsc.com/product-detail/Schottky-Barrier-Diodes-SBD_ON-Semiconductor-ON-Semiconductor-MBR120ESFT1G_C236132.html" TargetMode="External"/><Relationship Id="rId28" Type="http://schemas.openxmlformats.org/officeDocument/2006/relationships/hyperlink" Target="https://lcsc.com/product-detail/Optocouplers_RENESAS_PS2801C-1-F3-A_RENESAS-PS2801C-1-F3-A_C67112.html" TargetMode="External"/><Relationship Id="rId10" Type="http://schemas.openxmlformats.org/officeDocument/2006/relationships/hyperlink" Target="https://lcsc.com/product-detail/High-Precision-Low-TCR-SMD-Resistors_10KR-1002-0-1_C110775.html" TargetMode="External"/><Relationship Id="rId19" Type="http://schemas.openxmlformats.org/officeDocument/2006/relationships/hyperlink" Target="https://lcsc.com/product-detail/Rectangular-Connectors-Housings_JST-Sales-America_PHR-13_JST-Sales-America-PHR-13_C157959.html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lcsc.com/product-detail/Multilayer-Ceramic-Capacitors-MLCC-SMD-SMT_TDK-C1608X5R1E106MT000E_C76614.html" TargetMode="External"/><Relationship Id="rId9" Type="http://schemas.openxmlformats.org/officeDocument/2006/relationships/hyperlink" Target="https://lcsc.com/product-detail/Chip-Resistor-Surface-Mount_3-3KR-3301-1_C108078.html" TargetMode="External"/><Relationship Id="rId14" Type="http://schemas.openxmlformats.org/officeDocument/2006/relationships/hyperlink" Target="https://lcsc.com/product-detail/Chip-Resistor-Surface-Mount_RC0603FR-07130KL_C163432.html" TargetMode="External"/><Relationship Id="rId22" Type="http://schemas.openxmlformats.org/officeDocument/2006/relationships/hyperlink" Target="https://lcsc.com/product-detail/PMIC-Battery-Management_Texas-Instruments_BQ21040DBVR_Texas-Instruments-Texas-Instruments-BQ21040DBVR_C202311.html" TargetMode="External"/><Relationship Id="rId27" Type="http://schemas.openxmlformats.org/officeDocument/2006/relationships/hyperlink" Target="https://lcsc.com/product-detail/USB-Connectors_Jing-Extension-of-the-Electronic-Co-C10418_C10418.html" TargetMode="External"/><Relationship Id="rId30" Type="http://schemas.openxmlformats.org/officeDocument/2006/relationships/hyperlink" Target="https://lcsc.com/product-detail/Chip-Resistor-Surface-Mount_UNI-ROYAL-Uniroyal-Elec-0603WAF6650T5E_C2309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zoomScale="85" zoomScaleNormal="85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I23" sqref="I23"/>
    </sheetView>
  </sheetViews>
  <sheetFormatPr defaultRowHeight="15" x14ac:dyDescent="0.25"/>
  <cols>
    <col min="1" max="1" width="7" bestFit="1" customWidth="1"/>
    <col min="2" max="2" width="15.7109375" bestFit="1" customWidth="1"/>
    <col min="3" max="3" width="50.140625" style="4" customWidth="1"/>
    <col min="4" max="4" width="41.42578125" customWidth="1"/>
    <col min="5" max="5" width="22.140625" bestFit="1" customWidth="1"/>
    <col min="6" max="6" width="28.7109375" bestFit="1" customWidth="1"/>
    <col min="7" max="7" width="38.85546875" bestFit="1" customWidth="1"/>
    <col min="8" max="8" width="6.7109375" style="1" bestFit="1" customWidth="1"/>
    <col min="9" max="9" width="10" style="1" bestFit="1" customWidth="1"/>
    <col min="10" max="10" width="15.42578125" style="1" bestFit="1" customWidth="1"/>
    <col min="11" max="11" width="16" style="1" bestFit="1" customWidth="1"/>
    <col min="12" max="12" width="7.85546875" bestFit="1" customWidth="1"/>
    <col min="13" max="13" width="17.28515625" bestFit="1" customWidth="1"/>
    <col min="14" max="14" width="18.140625" bestFit="1" customWidth="1"/>
    <col min="15" max="15" width="20" bestFit="1" customWidth="1"/>
    <col min="16" max="16" width="20.85546875" bestFit="1" customWidth="1"/>
    <col min="17" max="17" width="34.5703125" style="4" bestFit="1" customWidth="1"/>
    <col min="18" max="18" width="70.42578125" bestFit="1" customWidth="1"/>
  </cols>
  <sheetData>
    <row r="1" spans="1:18" ht="24" customHeight="1" thickBot="1" x14ac:dyDescent="0.3">
      <c r="A1" s="159" t="s">
        <v>94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1"/>
    </row>
    <row r="2" spans="1:18" ht="15.75" hidden="1" customHeight="1" thickBot="1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35"/>
    </row>
    <row r="3" spans="1:18" s="3" customFormat="1" ht="16.5" thickBot="1" x14ac:dyDescent="0.3">
      <c r="A3" s="5" t="s">
        <v>64</v>
      </c>
      <c r="B3" s="13" t="s">
        <v>66</v>
      </c>
      <c r="C3" s="14" t="s">
        <v>0</v>
      </c>
      <c r="D3" s="13" t="s">
        <v>1</v>
      </c>
      <c r="E3" s="13" t="s">
        <v>68</v>
      </c>
      <c r="F3" s="13" t="s">
        <v>3</v>
      </c>
      <c r="G3" s="13" t="s">
        <v>67</v>
      </c>
      <c r="H3" s="13" t="s">
        <v>65</v>
      </c>
      <c r="I3" s="13" t="s">
        <v>2</v>
      </c>
      <c r="J3" s="13" t="s">
        <v>102</v>
      </c>
      <c r="K3" s="13" t="s">
        <v>136</v>
      </c>
      <c r="L3" s="13" t="s">
        <v>69</v>
      </c>
      <c r="M3" s="11" t="s">
        <v>138</v>
      </c>
      <c r="N3" s="11" t="s">
        <v>139</v>
      </c>
      <c r="O3" s="11" t="s">
        <v>141</v>
      </c>
      <c r="P3" s="11" t="s">
        <v>142</v>
      </c>
      <c r="Q3" s="36" t="s">
        <v>70</v>
      </c>
    </row>
    <row r="4" spans="1:18" s="7" customFormat="1" ht="16.5" thickBot="1" x14ac:dyDescent="0.3">
      <c r="A4" s="12">
        <v>1</v>
      </c>
      <c r="B4" s="153" t="str">
        <f>[1]Finalized!$B$23</f>
        <v>Capacitor</v>
      </c>
      <c r="C4" s="20" t="s">
        <v>143</v>
      </c>
      <c r="D4" s="20" t="s">
        <v>8</v>
      </c>
      <c r="E4" s="21" t="s">
        <v>79</v>
      </c>
      <c r="F4" s="21" t="s">
        <v>144</v>
      </c>
      <c r="G4" s="22" t="s">
        <v>145</v>
      </c>
      <c r="H4" s="21" t="s">
        <v>7</v>
      </c>
      <c r="I4" s="23">
        <v>9</v>
      </c>
      <c r="J4" s="23">
        <v>47</v>
      </c>
      <c r="K4" s="23">
        <v>50</v>
      </c>
      <c r="L4" s="24" t="s">
        <v>122</v>
      </c>
      <c r="M4" s="47">
        <v>1.1676000000000001E-2</v>
      </c>
      <c r="N4" s="25">
        <f>M4*K4</f>
        <v>0.58379999999999999</v>
      </c>
      <c r="O4" s="25">
        <v>0.1</v>
      </c>
      <c r="P4" s="25">
        <f>O4*J4</f>
        <v>4.7</v>
      </c>
      <c r="Q4" s="37" t="s">
        <v>123</v>
      </c>
    </row>
    <row r="5" spans="1:18" s="7" customFormat="1" ht="16.5" thickBot="1" x14ac:dyDescent="0.3">
      <c r="A5" s="12">
        <v>2</v>
      </c>
      <c r="B5" s="154"/>
      <c r="C5" s="44" t="s">
        <v>150</v>
      </c>
      <c r="D5" s="2" t="s">
        <v>11</v>
      </c>
      <c r="E5" s="8" t="s">
        <v>79</v>
      </c>
      <c r="F5" s="8" t="s">
        <v>13</v>
      </c>
      <c r="G5" s="16" t="s">
        <v>12</v>
      </c>
      <c r="H5" s="8" t="s">
        <v>10</v>
      </c>
      <c r="I5" s="6">
        <v>1</v>
      </c>
      <c r="J5" s="6">
        <v>7</v>
      </c>
      <c r="K5" s="6">
        <v>20</v>
      </c>
      <c r="L5" s="15" t="s">
        <v>122</v>
      </c>
      <c r="M5" s="48">
        <v>2.1885000000000002E-2</v>
      </c>
      <c r="N5" s="25">
        <f>M5*K5</f>
        <v>0.43770000000000003</v>
      </c>
      <c r="O5" s="65">
        <v>0.25</v>
      </c>
      <c r="P5" s="25">
        <f t="shared" ref="P5:P35" si="0">O5*J5</f>
        <v>1.75</v>
      </c>
      <c r="Q5" s="38" t="s">
        <v>124</v>
      </c>
    </row>
    <row r="6" spans="1:18" s="7" customFormat="1" ht="16.5" thickBot="1" x14ac:dyDescent="0.3">
      <c r="A6" s="12">
        <v>3</v>
      </c>
      <c r="B6" s="154"/>
      <c r="C6" s="44" t="s">
        <v>149</v>
      </c>
      <c r="D6" s="2" t="s">
        <v>15</v>
      </c>
      <c r="E6" s="8" t="s">
        <v>79</v>
      </c>
      <c r="F6" s="8" t="s">
        <v>16</v>
      </c>
      <c r="G6" s="16" t="s">
        <v>146</v>
      </c>
      <c r="H6" s="8" t="s">
        <v>14</v>
      </c>
      <c r="I6" s="6">
        <v>1</v>
      </c>
      <c r="J6" s="6">
        <v>7</v>
      </c>
      <c r="K6" s="6">
        <v>10</v>
      </c>
      <c r="L6" s="15" t="s">
        <v>122</v>
      </c>
      <c r="M6" s="48">
        <v>7.3881000000000002E-2</v>
      </c>
      <c r="N6" s="25">
        <f>M6*K6</f>
        <v>0.73880999999999997</v>
      </c>
      <c r="O6" s="65">
        <v>0.41</v>
      </c>
      <c r="P6" s="25">
        <f t="shared" si="0"/>
        <v>2.8699999999999997</v>
      </c>
      <c r="Q6" s="38" t="s">
        <v>125</v>
      </c>
    </row>
    <row r="7" spans="1:18" s="7" customFormat="1" ht="16.5" thickBot="1" x14ac:dyDescent="0.3">
      <c r="A7" s="12">
        <v>4</v>
      </c>
      <c r="B7" s="155"/>
      <c r="C7" s="46" t="s">
        <v>148</v>
      </c>
      <c r="D7" s="26" t="s">
        <v>18</v>
      </c>
      <c r="E7" s="27" t="s">
        <v>79</v>
      </c>
      <c r="F7" s="27" t="s">
        <v>147</v>
      </c>
      <c r="G7" s="28" t="s">
        <v>19</v>
      </c>
      <c r="H7" s="27" t="s">
        <v>17</v>
      </c>
      <c r="I7" s="29">
        <v>2</v>
      </c>
      <c r="J7" s="29">
        <v>12</v>
      </c>
      <c r="K7" s="29">
        <v>20</v>
      </c>
      <c r="L7" s="30" t="s">
        <v>122</v>
      </c>
      <c r="M7" s="48">
        <v>5.7504E-2</v>
      </c>
      <c r="N7" s="25">
        <f t="shared" ref="N7:N14" si="1">M7*K7</f>
        <v>1.15008</v>
      </c>
      <c r="O7" s="66">
        <v>0.84</v>
      </c>
      <c r="P7" s="25">
        <f t="shared" si="0"/>
        <v>10.08</v>
      </c>
      <c r="Q7" s="39" t="s">
        <v>124</v>
      </c>
    </row>
    <row r="8" spans="1:18" s="7" customFormat="1" ht="16.5" thickBot="1" x14ac:dyDescent="0.3">
      <c r="A8" s="12">
        <v>5</v>
      </c>
      <c r="B8" s="153" t="s">
        <v>76</v>
      </c>
      <c r="C8" s="45" t="s">
        <v>151</v>
      </c>
      <c r="D8" s="31" t="s">
        <v>63</v>
      </c>
      <c r="E8" s="21" t="s">
        <v>35</v>
      </c>
      <c r="F8" s="21" t="s">
        <v>62</v>
      </c>
      <c r="G8" s="22" t="s">
        <v>80</v>
      </c>
      <c r="H8" s="32" t="s">
        <v>77</v>
      </c>
      <c r="I8" s="23">
        <v>2</v>
      </c>
      <c r="J8" s="23">
        <v>12</v>
      </c>
      <c r="K8" s="23">
        <v>20</v>
      </c>
      <c r="L8" s="24" t="s">
        <v>122</v>
      </c>
      <c r="M8" s="48">
        <v>1.5910000000000001E-2</v>
      </c>
      <c r="N8" s="25">
        <f t="shared" si="1"/>
        <v>0.31820000000000004</v>
      </c>
      <c r="O8" s="25">
        <v>0.13</v>
      </c>
      <c r="P8" s="25">
        <f t="shared" si="0"/>
        <v>1.56</v>
      </c>
      <c r="Q8" s="38" t="s">
        <v>124</v>
      </c>
    </row>
    <row r="9" spans="1:18" s="7" customFormat="1" ht="16.5" thickBot="1" x14ac:dyDescent="0.3">
      <c r="A9" s="12">
        <v>6</v>
      </c>
      <c r="B9" s="155"/>
      <c r="C9" s="46" t="s">
        <v>92</v>
      </c>
      <c r="D9" s="26" t="s">
        <v>34</v>
      </c>
      <c r="E9" s="27" t="s">
        <v>35</v>
      </c>
      <c r="F9" s="27" t="s">
        <v>33</v>
      </c>
      <c r="G9" s="28" t="s">
        <v>80</v>
      </c>
      <c r="H9" s="33" t="s">
        <v>77</v>
      </c>
      <c r="I9" s="29">
        <v>1</v>
      </c>
      <c r="J9" s="29">
        <v>6</v>
      </c>
      <c r="K9" s="29">
        <v>10</v>
      </c>
      <c r="L9" s="30" t="s">
        <v>122</v>
      </c>
      <c r="M9" s="48">
        <v>0.105045</v>
      </c>
      <c r="N9" s="25">
        <f t="shared" si="1"/>
        <v>1.0504500000000001</v>
      </c>
      <c r="O9" s="66">
        <v>0.43</v>
      </c>
      <c r="P9" s="25">
        <f t="shared" si="0"/>
        <v>2.58</v>
      </c>
      <c r="Q9" s="38" t="s">
        <v>125</v>
      </c>
    </row>
    <row r="10" spans="1:18" s="7" customFormat="1" ht="16.5" thickBot="1" x14ac:dyDescent="0.3">
      <c r="A10" s="12">
        <v>7</v>
      </c>
      <c r="B10" s="153" t="s">
        <v>71</v>
      </c>
      <c r="C10" s="116" t="s">
        <v>96</v>
      </c>
      <c r="D10" s="117" t="s">
        <v>24</v>
      </c>
      <c r="E10" s="118" t="s">
        <v>81</v>
      </c>
      <c r="F10" s="118" t="s">
        <v>152</v>
      </c>
      <c r="G10" s="119" t="s">
        <v>25</v>
      </c>
      <c r="H10" s="120" t="s">
        <v>78</v>
      </c>
      <c r="I10" s="121">
        <v>1</v>
      </c>
      <c r="J10" s="121">
        <v>6</v>
      </c>
      <c r="K10" s="121">
        <v>10</v>
      </c>
      <c r="L10" s="122" t="s">
        <v>122</v>
      </c>
      <c r="M10" s="123">
        <v>0.11763</v>
      </c>
      <c r="N10" s="115">
        <f t="shared" si="1"/>
        <v>1.1762999999999999</v>
      </c>
      <c r="O10" s="115">
        <v>0.39</v>
      </c>
      <c r="P10" s="115">
        <f t="shared" si="0"/>
        <v>2.34</v>
      </c>
      <c r="Q10" s="124" t="s">
        <v>127</v>
      </c>
    </row>
    <row r="11" spans="1:18" s="7" customFormat="1" ht="16.5" thickBot="1" x14ac:dyDescent="0.3">
      <c r="A11" s="12">
        <v>8</v>
      </c>
      <c r="B11" s="154"/>
      <c r="C11" s="83" t="s">
        <v>97</v>
      </c>
      <c r="D11" s="125" t="s">
        <v>26</v>
      </c>
      <c r="E11" s="55" t="s">
        <v>82</v>
      </c>
      <c r="F11" s="55" t="s">
        <v>153</v>
      </c>
      <c r="G11" s="56" t="s">
        <v>160</v>
      </c>
      <c r="H11" s="57" t="s">
        <v>77</v>
      </c>
      <c r="I11" s="58">
        <v>9</v>
      </c>
      <c r="J11" s="58">
        <v>46</v>
      </c>
      <c r="K11" s="58">
        <v>50</v>
      </c>
      <c r="L11" s="59" t="s">
        <v>122</v>
      </c>
      <c r="M11" s="85">
        <v>1.5148E-2</v>
      </c>
      <c r="N11" s="115">
        <f t="shared" si="1"/>
        <v>0.75739999999999996</v>
      </c>
      <c r="O11" s="52">
        <v>0.2</v>
      </c>
      <c r="P11" s="115">
        <f t="shared" si="0"/>
        <v>9.2000000000000011</v>
      </c>
      <c r="Q11" s="60" t="s">
        <v>123</v>
      </c>
    </row>
    <row r="12" spans="1:18" s="7" customFormat="1" ht="16.5" thickBot="1" x14ac:dyDescent="0.3">
      <c r="A12" s="12">
        <v>9</v>
      </c>
      <c r="B12" s="155"/>
      <c r="C12" s="77" t="s">
        <v>98</v>
      </c>
      <c r="D12" s="78" t="s">
        <v>32</v>
      </c>
      <c r="E12" s="71" t="s">
        <v>79</v>
      </c>
      <c r="F12" s="71" t="s">
        <v>154</v>
      </c>
      <c r="G12" s="72" t="s">
        <v>159</v>
      </c>
      <c r="H12" s="73" t="s">
        <v>77</v>
      </c>
      <c r="I12" s="74">
        <v>2</v>
      </c>
      <c r="J12" s="74">
        <v>11</v>
      </c>
      <c r="K12" s="74">
        <v>20</v>
      </c>
      <c r="L12" s="75" t="s">
        <v>122</v>
      </c>
      <c r="M12" s="108">
        <v>4.1057000000000003E-2</v>
      </c>
      <c r="N12" s="115">
        <f t="shared" si="1"/>
        <v>0.82114000000000009</v>
      </c>
      <c r="O12" s="115">
        <v>0.44</v>
      </c>
      <c r="P12" s="115">
        <f t="shared" si="0"/>
        <v>4.84</v>
      </c>
      <c r="Q12" s="94" t="s">
        <v>126</v>
      </c>
    </row>
    <row r="13" spans="1:18" s="7" customFormat="1" ht="16.5" thickBot="1" x14ac:dyDescent="0.3">
      <c r="A13" s="12">
        <v>10</v>
      </c>
      <c r="B13" s="43" t="s">
        <v>73</v>
      </c>
      <c r="C13" s="126" t="s">
        <v>189</v>
      </c>
      <c r="D13" s="127" t="s">
        <v>27</v>
      </c>
      <c r="E13" s="128" t="s">
        <v>86</v>
      </c>
      <c r="F13" s="128" t="s">
        <v>187</v>
      </c>
      <c r="G13" s="129" t="s">
        <v>188</v>
      </c>
      <c r="H13" s="130" t="s">
        <v>77</v>
      </c>
      <c r="I13" s="131">
        <v>1</v>
      </c>
      <c r="J13" s="131">
        <v>6</v>
      </c>
      <c r="K13" s="131">
        <v>10</v>
      </c>
      <c r="L13" s="132" t="s">
        <v>122</v>
      </c>
      <c r="M13" s="89">
        <v>6.8320000000000006E-2</v>
      </c>
      <c r="N13" s="115">
        <f t="shared" si="1"/>
        <v>0.68320000000000003</v>
      </c>
      <c r="O13" s="133">
        <v>0.41</v>
      </c>
      <c r="P13" s="115">
        <f t="shared" si="0"/>
        <v>2.46</v>
      </c>
      <c r="Q13" s="60" t="s">
        <v>182</v>
      </c>
    </row>
    <row r="14" spans="1:18" s="7" customFormat="1" ht="16.5" thickBot="1" x14ac:dyDescent="0.3">
      <c r="A14" s="12">
        <v>11</v>
      </c>
      <c r="B14" s="147" t="s">
        <v>72</v>
      </c>
      <c r="C14" s="116" t="s">
        <v>155</v>
      </c>
      <c r="D14" s="134" t="s">
        <v>38</v>
      </c>
      <c r="E14" s="118" t="s">
        <v>79</v>
      </c>
      <c r="F14" s="118" t="s">
        <v>39</v>
      </c>
      <c r="G14" s="119" t="s">
        <v>9</v>
      </c>
      <c r="H14" s="118" t="s">
        <v>37</v>
      </c>
      <c r="I14" s="121">
        <v>9</v>
      </c>
      <c r="J14" s="121">
        <v>47</v>
      </c>
      <c r="K14" s="121">
        <v>100</v>
      </c>
      <c r="L14" s="122" t="s">
        <v>122</v>
      </c>
      <c r="M14" s="89">
        <v>2.663E-3</v>
      </c>
      <c r="N14" s="115">
        <f t="shared" si="1"/>
        <v>0.26629999999999998</v>
      </c>
      <c r="O14" s="115">
        <v>0.1</v>
      </c>
      <c r="P14" s="115">
        <f t="shared" si="0"/>
        <v>4.7</v>
      </c>
      <c r="Q14" s="60" t="s">
        <v>128</v>
      </c>
    </row>
    <row r="15" spans="1:18" s="7" customFormat="1" ht="44.25" customHeight="1" thickBot="1" x14ac:dyDescent="0.3">
      <c r="A15" s="12">
        <v>12</v>
      </c>
      <c r="B15" s="148"/>
      <c r="C15" s="83" t="s">
        <v>157</v>
      </c>
      <c r="D15" s="61" t="s">
        <v>41</v>
      </c>
      <c r="E15" s="55" t="s">
        <v>83</v>
      </c>
      <c r="F15" s="55" t="s">
        <v>156</v>
      </c>
      <c r="G15" s="56" t="s">
        <v>9</v>
      </c>
      <c r="H15" s="55" t="s">
        <v>40</v>
      </c>
      <c r="I15" s="58">
        <v>1</v>
      </c>
      <c r="J15" s="56">
        <v>7</v>
      </c>
      <c r="K15" s="56">
        <v>10</v>
      </c>
      <c r="L15" s="59" t="s">
        <v>122</v>
      </c>
      <c r="M15" s="62">
        <v>3.9789999999999999E-2</v>
      </c>
      <c r="N15" s="52">
        <f>M15*K15</f>
        <v>0.39789999999999998</v>
      </c>
      <c r="O15" s="52">
        <v>0.7</v>
      </c>
      <c r="P15" s="52">
        <f t="shared" si="0"/>
        <v>4.8999999999999995</v>
      </c>
      <c r="Q15" s="56" t="s">
        <v>125</v>
      </c>
      <c r="R15" s="146" t="s">
        <v>116</v>
      </c>
    </row>
    <row r="16" spans="1:18" s="7" customFormat="1" ht="39" customHeight="1" thickBot="1" x14ac:dyDescent="0.3">
      <c r="A16" s="12">
        <v>13</v>
      </c>
      <c r="B16" s="148"/>
      <c r="C16" s="83" t="s">
        <v>161</v>
      </c>
      <c r="D16" s="61" t="s">
        <v>42</v>
      </c>
      <c r="E16" s="55" t="s">
        <v>79</v>
      </c>
      <c r="F16" s="55" t="s">
        <v>158</v>
      </c>
      <c r="G16" s="56" t="s">
        <v>84</v>
      </c>
      <c r="H16" s="55" t="s">
        <v>40</v>
      </c>
      <c r="I16" s="58">
        <v>3</v>
      </c>
      <c r="J16" s="56">
        <v>17</v>
      </c>
      <c r="K16" s="56">
        <v>50</v>
      </c>
      <c r="L16" s="59" t="s">
        <v>122</v>
      </c>
      <c r="M16" s="62">
        <v>3.473E-3</v>
      </c>
      <c r="N16" s="52">
        <f>M16*K16</f>
        <v>0.17365</v>
      </c>
      <c r="O16" s="52">
        <v>0.1</v>
      </c>
      <c r="P16" s="52">
        <f t="shared" si="0"/>
        <v>1.7000000000000002</v>
      </c>
      <c r="Q16" s="52" t="s">
        <v>129</v>
      </c>
      <c r="R16" s="146"/>
    </row>
    <row r="17" spans="1:19" s="7" customFormat="1" ht="16.5" thickBot="1" x14ac:dyDescent="0.3">
      <c r="A17" s="12">
        <v>14</v>
      </c>
      <c r="B17" s="148"/>
      <c r="C17" s="44" t="s">
        <v>164</v>
      </c>
      <c r="D17" s="2" t="s">
        <v>44</v>
      </c>
      <c r="E17" s="8" t="s">
        <v>79</v>
      </c>
      <c r="F17" s="8" t="s">
        <v>162</v>
      </c>
      <c r="G17" s="16" t="s">
        <v>163</v>
      </c>
      <c r="H17" s="8" t="s">
        <v>43</v>
      </c>
      <c r="I17" s="6">
        <v>1</v>
      </c>
      <c r="J17" s="6">
        <v>7</v>
      </c>
      <c r="K17" s="6">
        <v>50</v>
      </c>
      <c r="L17" s="15" t="s">
        <v>122</v>
      </c>
      <c r="M17" s="48">
        <v>3.2989999999999998E-3</v>
      </c>
      <c r="N17" s="49">
        <f>M17*K17</f>
        <v>0.16494999999999999</v>
      </c>
      <c r="O17" s="65">
        <v>0.38</v>
      </c>
      <c r="P17" s="25">
        <f t="shared" si="0"/>
        <v>2.66</v>
      </c>
      <c r="Q17" s="38" t="s">
        <v>123</v>
      </c>
    </row>
    <row r="18" spans="1:19" s="7" customFormat="1" ht="16.5" thickBot="1" x14ac:dyDescent="0.3">
      <c r="A18" s="12">
        <v>15</v>
      </c>
      <c r="B18" s="148"/>
      <c r="C18" s="44" t="s">
        <v>166</v>
      </c>
      <c r="D18" s="135" t="s">
        <v>46</v>
      </c>
      <c r="E18" s="136" t="s">
        <v>85</v>
      </c>
      <c r="F18" s="136" t="s">
        <v>165</v>
      </c>
      <c r="G18" s="137" t="s">
        <v>167</v>
      </c>
      <c r="H18" s="136" t="s">
        <v>45</v>
      </c>
      <c r="I18" s="138">
        <v>7</v>
      </c>
      <c r="J18" s="138">
        <v>37</v>
      </c>
      <c r="K18" s="139">
        <v>40</v>
      </c>
      <c r="L18" s="140" t="s">
        <v>122</v>
      </c>
      <c r="M18" s="141">
        <v>2.1158E-2</v>
      </c>
      <c r="N18" s="142">
        <f t="shared" ref="N18:N23" si="2">M18*K18</f>
        <v>0.84631999999999996</v>
      </c>
      <c r="O18" s="143">
        <v>0.65</v>
      </c>
      <c r="P18" s="144">
        <f t="shared" si="0"/>
        <v>24.05</v>
      </c>
      <c r="Q18" s="145" t="s">
        <v>193</v>
      </c>
    </row>
    <row r="19" spans="1:19" s="7" customFormat="1" ht="30.75" thickBot="1" x14ac:dyDescent="0.3">
      <c r="A19" s="12">
        <v>16</v>
      </c>
      <c r="B19" s="148"/>
      <c r="C19" s="83" t="s">
        <v>168</v>
      </c>
      <c r="D19" s="61" t="s">
        <v>47</v>
      </c>
      <c r="E19" s="55" t="s">
        <v>79</v>
      </c>
      <c r="F19" s="55" t="s">
        <v>169</v>
      </c>
      <c r="G19" s="56" t="s">
        <v>9</v>
      </c>
      <c r="H19" s="55" t="s">
        <v>170</v>
      </c>
      <c r="I19" s="58">
        <v>1</v>
      </c>
      <c r="J19" s="58">
        <v>7</v>
      </c>
      <c r="K19" s="58">
        <v>100</v>
      </c>
      <c r="L19" s="59" t="s">
        <v>122</v>
      </c>
      <c r="M19" s="62">
        <v>2.7669999999999999E-3</v>
      </c>
      <c r="N19" s="76">
        <f t="shared" si="2"/>
        <v>0.2767</v>
      </c>
      <c r="O19" s="76">
        <v>0.1</v>
      </c>
      <c r="P19" s="52">
        <f t="shared" si="0"/>
        <v>0.70000000000000007</v>
      </c>
      <c r="Q19" s="60" t="s">
        <v>132</v>
      </c>
    </row>
    <row r="20" spans="1:19" s="7" customFormat="1" ht="16.5" thickBot="1" x14ac:dyDescent="0.3">
      <c r="A20" s="12">
        <v>17</v>
      </c>
      <c r="B20" s="148"/>
      <c r="C20" s="83" t="s">
        <v>171</v>
      </c>
      <c r="D20" s="61" t="s">
        <v>49</v>
      </c>
      <c r="E20" s="55" t="s">
        <v>79</v>
      </c>
      <c r="F20" s="55" t="s">
        <v>172</v>
      </c>
      <c r="G20" s="56" t="s">
        <v>173</v>
      </c>
      <c r="H20" s="55" t="s">
        <v>48</v>
      </c>
      <c r="I20" s="58">
        <v>9</v>
      </c>
      <c r="J20" s="58">
        <v>47</v>
      </c>
      <c r="K20" s="58">
        <v>100</v>
      </c>
      <c r="L20" s="59" t="s">
        <v>122</v>
      </c>
      <c r="M20" s="84">
        <v>2.2009999999999998E-3</v>
      </c>
      <c r="N20" s="76">
        <f t="shared" si="2"/>
        <v>0.22009999999999999</v>
      </c>
      <c r="O20" s="76">
        <v>0.2</v>
      </c>
      <c r="P20" s="52">
        <f t="shared" si="0"/>
        <v>9.4</v>
      </c>
      <c r="Q20" s="60" t="s">
        <v>130</v>
      </c>
    </row>
    <row r="21" spans="1:19" s="7" customFormat="1" ht="16.5" thickBot="1" x14ac:dyDescent="0.3">
      <c r="A21" s="12">
        <v>18</v>
      </c>
      <c r="B21" s="148"/>
      <c r="C21" s="44" t="s">
        <v>174</v>
      </c>
      <c r="D21" s="2" t="s">
        <v>51</v>
      </c>
      <c r="E21" s="8" t="s">
        <v>79</v>
      </c>
      <c r="F21" s="8" t="s">
        <v>175</v>
      </c>
      <c r="G21" s="16" t="s">
        <v>176</v>
      </c>
      <c r="H21" s="8" t="s">
        <v>50</v>
      </c>
      <c r="I21" s="6">
        <v>2</v>
      </c>
      <c r="J21" s="6">
        <v>12</v>
      </c>
      <c r="K21" s="69">
        <v>20</v>
      </c>
      <c r="L21" s="67" t="s">
        <v>122</v>
      </c>
      <c r="M21" s="48">
        <v>1.558E-2</v>
      </c>
      <c r="N21" s="68">
        <f t="shared" si="2"/>
        <v>0.31159999999999999</v>
      </c>
      <c r="O21" s="70">
        <v>0.1</v>
      </c>
      <c r="P21" s="25">
        <f t="shared" si="0"/>
        <v>1.2000000000000002</v>
      </c>
      <c r="Q21" s="38" t="s">
        <v>124</v>
      </c>
    </row>
    <row r="22" spans="1:19" ht="24" customHeight="1" thickBot="1" x14ac:dyDescent="0.3">
      <c r="A22" s="12">
        <v>19</v>
      </c>
      <c r="B22" s="148"/>
      <c r="C22" s="83" t="s">
        <v>185</v>
      </c>
      <c r="D22" s="61" t="s">
        <v>53</v>
      </c>
      <c r="E22" s="55" t="s">
        <v>186</v>
      </c>
      <c r="F22" s="55" t="s">
        <v>183</v>
      </c>
      <c r="G22" s="56" t="s">
        <v>184</v>
      </c>
      <c r="H22" s="55" t="s">
        <v>52</v>
      </c>
      <c r="I22" s="58">
        <v>9</v>
      </c>
      <c r="J22" s="58">
        <v>47</v>
      </c>
      <c r="K22" s="58">
        <v>60</v>
      </c>
      <c r="L22" s="59" t="s">
        <v>122</v>
      </c>
      <c r="M22" s="85">
        <v>1.6778000000000001E-2</v>
      </c>
      <c r="N22" s="86">
        <f t="shared" si="2"/>
        <v>1.00668</v>
      </c>
      <c r="O22" s="76">
        <v>0.92</v>
      </c>
      <c r="P22" s="76">
        <f t="shared" si="0"/>
        <v>43.24</v>
      </c>
      <c r="Q22" s="60" t="s">
        <v>126</v>
      </c>
    </row>
    <row r="23" spans="1:19" ht="30.75" thickBot="1" x14ac:dyDescent="0.3">
      <c r="A23" s="12">
        <v>20</v>
      </c>
      <c r="B23" s="148"/>
      <c r="C23" s="83" t="s">
        <v>195</v>
      </c>
      <c r="D23" s="61" t="s">
        <v>54</v>
      </c>
      <c r="E23" s="55" t="s">
        <v>79</v>
      </c>
      <c r="F23" s="50" t="s">
        <v>196</v>
      </c>
      <c r="G23" s="56" t="s">
        <v>197</v>
      </c>
      <c r="H23" s="55" t="s">
        <v>194</v>
      </c>
      <c r="I23" s="58">
        <v>1</v>
      </c>
      <c r="J23" s="58">
        <v>7</v>
      </c>
      <c r="K23" s="87">
        <v>100</v>
      </c>
      <c r="L23" s="88" t="s">
        <v>122</v>
      </c>
      <c r="M23" s="89">
        <v>1.243E-3</v>
      </c>
      <c r="N23" s="90">
        <f t="shared" si="2"/>
        <v>0.12429999999999999</v>
      </c>
      <c r="O23" s="90">
        <v>0.1</v>
      </c>
      <c r="P23" s="52">
        <f t="shared" si="0"/>
        <v>0.70000000000000007</v>
      </c>
      <c r="Q23" s="60" t="s">
        <v>131</v>
      </c>
    </row>
    <row r="24" spans="1:19" s="34" customFormat="1" ht="30.75" thickBot="1" x14ac:dyDescent="0.3">
      <c r="A24" s="12">
        <v>21</v>
      </c>
      <c r="B24" s="149"/>
      <c r="C24" s="91" t="s">
        <v>177</v>
      </c>
      <c r="D24" s="91" t="s">
        <v>61</v>
      </c>
      <c r="E24" s="71" t="s">
        <v>79</v>
      </c>
      <c r="F24" s="71" t="s">
        <v>178</v>
      </c>
      <c r="G24" s="72" t="s">
        <v>9</v>
      </c>
      <c r="H24" s="71" t="s">
        <v>133</v>
      </c>
      <c r="I24" s="74">
        <v>1</v>
      </c>
      <c r="J24" s="72">
        <v>7</v>
      </c>
      <c r="K24" s="72">
        <v>100</v>
      </c>
      <c r="L24" s="75" t="s">
        <v>122</v>
      </c>
      <c r="M24" s="92">
        <v>3.1489999999999999E-3</v>
      </c>
      <c r="N24" s="93">
        <f>M24*K24</f>
        <v>0.31490000000000001</v>
      </c>
      <c r="O24" s="76">
        <v>0.16</v>
      </c>
      <c r="P24" s="52">
        <f t="shared" si="0"/>
        <v>1.1200000000000001</v>
      </c>
      <c r="Q24" s="94" t="s">
        <v>132</v>
      </c>
    </row>
    <row r="25" spans="1:19" ht="30.75" thickBot="1" x14ac:dyDescent="0.3">
      <c r="A25" s="12">
        <v>22</v>
      </c>
      <c r="B25" s="156" t="s">
        <v>74</v>
      </c>
      <c r="C25" s="95" t="s">
        <v>59</v>
      </c>
      <c r="D25" s="96" t="s">
        <v>60</v>
      </c>
      <c r="E25" s="97" t="s">
        <v>59</v>
      </c>
      <c r="F25" s="98" t="s">
        <v>77</v>
      </c>
      <c r="G25" s="98" t="s">
        <v>77</v>
      </c>
      <c r="H25" s="98" t="s">
        <v>77</v>
      </c>
      <c r="I25" s="97">
        <v>17</v>
      </c>
      <c r="J25" s="97">
        <f t="shared" ref="J25:J26" si="3">I25*5</f>
        <v>85</v>
      </c>
      <c r="K25" s="97"/>
      <c r="L25" s="98"/>
      <c r="M25" s="98"/>
      <c r="N25" s="98"/>
      <c r="O25" s="98"/>
      <c r="P25" s="99"/>
      <c r="Q25" s="100" t="s">
        <v>95</v>
      </c>
    </row>
    <row r="26" spans="1:19" ht="16.5" thickBot="1" x14ac:dyDescent="0.3">
      <c r="A26" s="12">
        <v>23</v>
      </c>
      <c r="B26" s="157"/>
      <c r="C26" s="101" t="s">
        <v>101</v>
      </c>
      <c r="D26" s="102" t="s">
        <v>5</v>
      </c>
      <c r="E26" s="103" t="s">
        <v>86</v>
      </c>
      <c r="F26" s="103" t="s">
        <v>4</v>
      </c>
      <c r="G26" s="103" t="s">
        <v>6</v>
      </c>
      <c r="H26" s="104" t="s">
        <v>77</v>
      </c>
      <c r="I26" s="103">
        <v>1</v>
      </c>
      <c r="J26" s="103">
        <f t="shared" si="3"/>
        <v>5</v>
      </c>
      <c r="K26" s="103"/>
      <c r="L26" s="104"/>
      <c r="M26" s="104"/>
      <c r="N26" s="104"/>
      <c r="O26" s="104"/>
      <c r="P26" s="104"/>
      <c r="Q26" s="105" t="s">
        <v>95</v>
      </c>
    </row>
    <row r="27" spans="1:19" ht="16.5" thickBot="1" x14ac:dyDescent="0.3">
      <c r="A27" s="12">
        <v>24</v>
      </c>
      <c r="B27" s="157"/>
      <c r="C27" s="81" t="s">
        <v>117</v>
      </c>
      <c r="D27" s="50" t="s">
        <v>77</v>
      </c>
      <c r="E27" s="50" t="s">
        <v>77</v>
      </c>
      <c r="F27" s="50" t="s">
        <v>118</v>
      </c>
      <c r="G27" s="50" t="s">
        <v>119</v>
      </c>
      <c r="H27" s="50" t="s">
        <v>77</v>
      </c>
      <c r="I27" s="50">
        <v>2</v>
      </c>
      <c r="J27" s="50">
        <v>11</v>
      </c>
      <c r="K27" s="50">
        <v>50</v>
      </c>
      <c r="L27" s="51" t="s">
        <v>122</v>
      </c>
      <c r="M27" s="62">
        <v>8.6700000000000006E-3</v>
      </c>
      <c r="N27" s="52">
        <f>M27*K27</f>
        <v>0.43350000000000005</v>
      </c>
      <c r="O27" s="52" t="s">
        <v>140</v>
      </c>
      <c r="P27" s="65">
        <f t="shared" si="0"/>
        <v>1.1000000000000001</v>
      </c>
      <c r="Q27" s="53" t="s">
        <v>123</v>
      </c>
    </row>
    <row r="28" spans="1:19" s="34" customFormat="1" ht="16.5" thickBot="1" x14ac:dyDescent="0.3">
      <c r="A28" s="12">
        <v>25</v>
      </c>
      <c r="B28" s="157"/>
      <c r="C28" s="81" t="s">
        <v>106</v>
      </c>
      <c r="D28" s="54" t="s">
        <v>115</v>
      </c>
      <c r="E28" s="55" t="s">
        <v>104</v>
      </c>
      <c r="F28" s="55" t="s">
        <v>107</v>
      </c>
      <c r="G28" s="56" t="s">
        <v>88</v>
      </c>
      <c r="H28" s="57" t="s">
        <v>77</v>
      </c>
      <c r="I28" s="58">
        <v>2</v>
      </c>
      <c r="J28" s="56">
        <v>11</v>
      </c>
      <c r="K28" s="56">
        <v>20</v>
      </c>
      <c r="L28" s="59" t="s">
        <v>122</v>
      </c>
      <c r="M28" s="62">
        <v>2.0405E-2</v>
      </c>
      <c r="N28" s="52">
        <f>M28*K28</f>
        <v>0.40810000000000002</v>
      </c>
      <c r="O28" s="52">
        <v>0.17</v>
      </c>
      <c r="P28" s="65">
        <f t="shared" si="0"/>
        <v>1.87</v>
      </c>
      <c r="Q28" s="60" t="s">
        <v>124</v>
      </c>
      <c r="S28" s="41"/>
    </row>
    <row r="29" spans="1:19" s="34" customFormat="1" ht="16.5" thickBot="1" x14ac:dyDescent="0.3">
      <c r="A29" s="12">
        <v>26</v>
      </c>
      <c r="B29" s="157"/>
      <c r="C29" s="81" t="s">
        <v>121</v>
      </c>
      <c r="D29" s="50" t="s">
        <v>77</v>
      </c>
      <c r="E29" s="50" t="s">
        <v>77</v>
      </c>
      <c r="F29" s="50" t="s">
        <v>120</v>
      </c>
      <c r="G29" s="56" t="s">
        <v>88</v>
      </c>
      <c r="H29" s="57" t="s">
        <v>77</v>
      </c>
      <c r="I29" s="50">
        <v>1</v>
      </c>
      <c r="J29" s="50">
        <v>6</v>
      </c>
      <c r="K29" s="50">
        <v>10</v>
      </c>
      <c r="L29" s="59" t="s">
        <v>122</v>
      </c>
      <c r="M29" s="62">
        <v>6.7105999999999999E-2</v>
      </c>
      <c r="N29" s="52">
        <f t="shared" ref="N29:N35" si="4">M29*K29</f>
        <v>0.67105999999999999</v>
      </c>
      <c r="O29" s="52">
        <v>0.26</v>
      </c>
      <c r="P29" s="65">
        <f>O29*J29</f>
        <v>1.56</v>
      </c>
      <c r="Q29" s="60" t="s">
        <v>134</v>
      </c>
      <c r="S29" s="41"/>
    </row>
    <row r="30" spans="1:19" ht="16.5" thickBot="1" x14ac:dyDescent="0.3">
      <c r="A30" s="12">
        <v>27</v>
      </c>
      <c r="B30" s="157"/>
      <c r="C30" s="82" t="s">
        <v>105</v>
      </c>
      <c r="D30" s="61" t="s">
        <v>20</v>
      </c>
      <c r="E30" s="55" t="s">
        <v>87</v>
      </c>
      <c r="F30" s="55" t="s">
        <v>103</v>
      </c>
      <c r="G30" s="56" t="s">
        <v>88</v>
      </c>
      <c r="H30" s="57" t="s">
        <v>77</v>
      </c>
      <c r="I30" s="58">
        <v>1</v>
      </c>
      <c r="J30" s="58">
        <v>6</v>
      </c>
      <c r="K30" s="58">
        <v>6</v>
      </c>
      <c r="L30" s="59" t="s">
        <v>122</v>
      </c>
      <c r="M30" s="62">
        <v>0.112121</v>
      </c>
      <c r="N30" s="52">
        <f t="shared" si="4"/>
        <v>0.67272599999999994</v>
      </c>
      <c r="O30" s="52">
        <v>0.59</v>
      </c>
      <c r="P30" s="65">
        <f t="shared" si="0"/>
        <v>3.54</v>
      </c>
      <c r="Q30" s="60" t="s">
        <v>135</v>
      </c>
    </row>
    <row r="31" spans="1:19" s="34" customFormat="1" ht="21.75" customHeight="1" thickBot="1" x14ac:dyDescent="0.3">
      <c r="A31" s="12">
        <v>28</v>
      </c>
      <c r="B31" s="158"/>
      <c r="C31" s="106" t="s">
        <v>99</v>
      </c>
      <c r="D31" s="78" t="s">
        <v>21</v>
      </c>
      <c r="E31" s="71" t="s">
        <v>89</v>
      </c>
      <c r="F31" s="107" t="s">
        <v>190</v>
      </c>
      <c r="G31" s="72" t="s">
        <v>191</v>
      </c>
      <c r="H31" s="73" t="s">
        <v>77</v>
      </c>
      <c r="I31" s="74">
        <v>1</v>
      </c>
      <c r="J31" s="74">
        <v>6</v>
      </c>
      <c r="K31" s="74">
        <v>6</v>
      </c>
      <c r="L31" s="75" t="s">
        <v>122</v>
      </c>
      <c r="M31" s="108">
        <v>5.7000000000000002E-2</v>
      </c>
      <c r="N31" s="93">
        <f>M31*K31</f>
        <v>0.34200000000000003</v>
      </c>
      <c r="O31" s="109">
        <v>0.43</v>
      </c>
      <c r="P31" s="109">
        <f t="shared" si="0"/>
        <v>2.58</v>
      </c>
      <c r="Q31" s="94" t="s">
        <v>192</v>
      </c>
    </row>
    <row r="32" spans="1:19" s="42" customFormat="1" ht="30.75" thickBot="1" x14ac:dyDescent="0.3">
      <c r="A32" s="12">
        <v>29</v>
      </c>
      <c r="B32" s="147" t="s">
        <v>75</v>
      </c>
      <c r="C32" s="110" t="s">
        <v>93</v>
      </c>
      <c r="D32" s="110" t="s">
        <v>23</v>
      </c>
      <c r="E32" s="111" t="s">
        <v>91</v>
      </c>
      <c r="F32" s="112" t="s">
        <v>22</v>
      </c>
      <c r="G32" s="113" t="s">
        <v>31</v>
      </c>
      <c r="H32" s="114" t="s">
        <v>77</v>
      </c>
      <c r="I32" s="87">
        <v>1</v>
      </c>
      <c r="J32" s="87">
        <v>6</v>
      </c>
      <c r="K32" s="87">
        <v>6</v>
      </c>
      <c r="L32" s="88" t="s">
        <v>122</v>
      </c>
      <c r="M32" s="85">
        <v>1.0696969999999999</v>
      </c>
      <c r="N32" s="79">
        <f t="shared" si="4"/>
        <v>6.4181819999999998</v>
      </c>
      <c r="O32" s="79">
        <v>1.87</v>
      </c>
      <c r="P32" s="79">
        <f t="shared" si="0"/>
        <v>11.22</v>
      </c>
      <c r="Q32" s="80" t="s">
        <v>135</v>
      </c>
    </row>
    <row r="33" spans="1:17" s="7" customFormat="1" ht="16.5" thickBot="1" x14ac:dyDescent="0.3">
      <c r="A33" s="12">
        <v>30</v>
      </c>
      <c r="B33" s="148"/>
      <c r="C33" s="83" t="s">
        <v>29</v>
      </c>
      <c r="D33" s="61" t="s">
        <v>30</v>
      </c>
      <c r="E33" s="55" t="s">
        <v>90</v>
      </c>
      <c r="F33" s="55" t="s">
        <v>28</v>
      </c>
      <c r="G33" s="56" t="s">
        <v>31</v>
      </c>
      <c r="H33" s="57" t="s">
        <v>77</v>
      </c>
      <c r="I33" s="58">
        <v>1</v>
      </c>
      <c r="J33" s="58">
        <v>6</v>
      </c>
      <c r="K33" s="58">
        <v>6</v>
      </c>
      <c r="L33" s="59" t="s">
        <v>122</v>
      </c>
      <c r="M33" s="85">
        <v>0.25</v>
      </c>
      <c r="N33" s="52">
        <f t="shared" si="4"/>
        <v>1.5</v>
      </c>
      <c r="O33" s="52">
        <v>1.19</v>
      </c>
      <c r="P33" s="115">
        <f t="shared" si="0"/>
        <v>7.14</v>
      </c>
      <c r="Q33" s="60" t="s">
        <v>135</v>
      </c>
    </row>
    <row r="34" spans="1:17" s="7" customFormat="1" ht="16.5" thickBot="1" x14ac:dyDescent="0.3">
      <c r="A34" s="12">
        <v>31</v>
      </c>
      <c r="B34" s="148"/>
      <c r="C34" s="83" t="s">
        <v>56</v>
      </c>
      <c r="D34" s="61" t="s">
        <v>57</v>
      </c>
      <c r="E34" s="55" t="s">
        <v>86</v>
      </c>
      <c r="F34" s="55" t="s">
        <v>55</v>
      </c>
      <c r="G34" s="56" t="s">
        <v>58</v>
      </c>
      <c r="H34" s="57" t="s">
        <v>77</v>
      </c>
      <c r="I34" s="58">
        <v>1</v>
      </c>
      <c r="J34" s="58">
        <v>6</v>
      </c>
      <c r="K34" s="58">
        <v>6</v>
      </c>
      <c r="L34" s="59" t="s">
        <v>122</v>
      </c>
      <c r="M34" s="62">
        <v>2.660606</v>
      </c>
      <c r="N34" s="52">
        <f t="shared" si="4"/>
        <v>15.963636000000001</v>
      </c>
      <c r="O34" s="115">
        <v>3.8</v>
      </c>
      <c r="P34" s="115">
        <f t="shared" si="0"/>
        <v>22.799999999999997</v>
      </c>
      <c r="Q34" s="60" t="s">
        <v>137</v>
      </c>
    </row>
    <row r="35" spans="1:17" s="7" customFormat="1" ht="27" customHeight="1" thickBot="1" x14ac:dyDescent="0.3">
      <c r="A35" s="12">
        <v>32</v>
      </c>
      <c r="B35" s="149"/>
      <c r="C35" s="77" t="s">
        <v>100</v>
      </c>
      <c r="D35" s="78" t="s">
        <v>36</v>
      </c>
      <c r="E35" s="71" t="s">
        <v>181</v>
      </c>
      <c r="F35" s="71" t="s">
        <v>179</v>
      </c>
      <c r="G35" s="72" t="s">
        <v>180</v>
      </c>
      <c r="H35" s="73" t="s">
        <v>77</v>
      </c>
      <c r="I35" s="74">
        <v>9</v>
      </c>
      <c r="J35" s="74">
        <v>47</v>
      </c>
      <c r="K35" s="74">
        <v>50</v>
      </c>
      <c r="L35" s="75" t="s">
        <v>122</v>
      </c>
      <c r="M35" s="62">
        <v>0.216667</v>
      </c>
      <c r="N35" s="52">
        <f t="shared" si="4"/>
        <v>10.833349999999999</v>
      </c>
      <c r="O35" s="76">
        <v>0.84</v>
      </c>
      <c r="P35" s="76">
        <f t="shared" si="0"/>
        <v>39.479999999999997</v>
      </c>
      <c r="Q35" s="60" t="s">
        <v>135</v>
      </c>
    </row>
    <row r="36" spans="1:17" s="7" customFormat="1" ht="15.75" thickBot="1" x14ac:dyDescent="0.3">
      <c r="A36" s="4"/>
      <c r="B36"/>
      <c r="C36"/>
      <c r="D36"/>
      <c r="E36"/>
      <c r="F36" s="1"/>
      <c r="G36" s="1"/>
      <c r="H36"/>
      <c r="I36" s="150" t="s">
        <v>108</v>
      </c>
      <c r="J36" s="151"/>
      <c r="K36" s="151"/>
      <c r="L36" s="151"/>
      <c r="M36" s="152"/>
      <c r="N36" s="17"/>
      <c r="O36" s="63"/>
      <c r="P36" s="63"/>
      <c r="Q36" s="40"/>
    </row>
    <row r="37" spans="1:17" ht="15.75" thickBot="1" x14ac:dyDescent="0.3">
      <c r="C37"/>
      <c r="F37" s="1"/>
      <c r="H37"/>
      <c r="I37" s="162" t="s">
        <v>109</v>
      </c>
      <c r="J37" s="163"/>
      <c r="K37" s="163"/>
      <c r="L37" s="163"/>
      <c r="M37" s="164"/>
      <c r="N37" s="18">
        <v>35</v>
      </c>
      <c r="O37" s="64"/>
      <c r="P37" s="64"/>
    </row>
    <row r="38" spans="1:17" ht="19.5" thickBot="1" x14ac:dyDescent="0.35">
      <c r="C38" s="19" t="s">
        <v>112</v>
      </c>
      <c r="F38" s="1"/>
      <c r="I38" s="162" t="s">
        <v>110</v>
      </c>
      <c r="J38" s="163"/>
      <c r="K38" s="163"/>
      <c r="L38" s="163"/>
      <c r="M38" s="164"/>
      <c r="N38" s="18">
        <v>50</v>
      </c>
      <c r="O38" s="64"/>
      <c r="P38" s="64"/>
    </row>
    <row r="39" spans="1:17" ht="15.75" thickBot="1" x14ac:dyDescent="0.3">
      <c r="C39" s="168" t="s">
        <v>113</v>
      </c>
      <c r="D39" s="169"/>
      <c r="E39" s="170"/>
      <c r="F39" s="1"/>
      <c r="G39" s="1"/>
      <c r="H39"/>
      <c r="I39" s="162" t="s">
        <v>111</v>
      </c>
      <c r="J39" s="163"/>
      <c r="K39" s="163"/>
      <c r="L39" s="163"/>
      <c r="M39" s="164"/>
      <c r="N39" s="18">
        <f>SUM(N36:N38)</f>
        <v>85</v>
      </c>
      <c r="O39" s="64"/>
      <c r="P39" s="64"/>
    </row>
    <row r="40" spans="1:17" ht="15.75" thickBot="1" x14ac:dyDescent="0.3">
      <c r="C40" s="165" t="s">
        <v>114</v>
      </c>
      <c r="D40" s="166"/>
      <c r="E40" s="167"/>
      <c r="F40" s="1"/>
      <c r="G40" s="1"/>
      <c r="I40"/>
      <c r="J40"/>
      <c r="K40"/>
    </row>
  </sheetData>
  <mergeCells count="14">
    <mergeCell ref="A1:Q1"/>
    <mergeCell ref="I37:M37"/>
    <mergeCell ref="I38:M38"/>
    <mergeCell ref="I39:M39"/>
    <mergeCell ref="C40:E40"/>
    <mergeCell ref="C39:E39"/>
    <mergeCell ref="R15:R16"/>
    <mergeCell ref="B32:B35"/>
    <mergeCell ref="I36:M36"/>
    <mergeCell ref="B4:B7"/>
    <mergeCell ref="B8:B9"/>
    <mergeCell ref="B10:B12"/>
    <mergeCell ref="B14:B24"/>
    <mergeCell ref="B25:B31"/>
  </mergeCells>
  <hyperlinks>
    <hyperlink ref="G26" tooltip="Component" display="'Tag-Connect"/>
    <hyperlink ref="G4" tooltip="Component" display="'Yageo"/>
    <hyperlink ref="G5" tooltip="Component" display="'Taiyo Yuden"/>
    <hyperlink ref="G6" tooltip="Component" display="'Murata"/>
    <hyperlink ref="G7" tooltip="Component" display="'TDK"/>
    <hyperlink ref="G10" tooltip="Component" display="'ON Semiconductor"/>
    <hyperlink ref="G11" tooltip="Component" display="'ON Semiconductor / Fairchild"/>
    <hyperlink ref="G13" tooltip="Component" display="'Taiyo Yuden"/>
    <hyperlink ref="G33" tooltip="Component" display="'Texas Instruments"/>
    <hyperlink ref="G12" tooltip="Component" display="'Kingbright"/>
    <hyperlink ref="G14" tooltip="Component" display="'Yageo"/>
    <hyperlink ref="G15" tooltip="Component" display="'Yageo"/>
    <hyperlink ref="G16" tooltip="Component" display="'Yageo Phycomp"/>
    <hyperlink ref="G17" tooltip="Component" display="'Yageo"/>
    <hyperlink ref="G19" tooltip="Component" display="'Yageo"/>
    <hyperlink ref="G20" tooltip="Component" display="'Yageo"/>
    <hyperlink ref="G21" tooltip="Component" display="'Yageo"/>
    <hyperlink ref="G22" tooltip="Component" display="'Susumu"/>
    <hyperlink ref="G34" tooltip="Component" display="'Espressif Systems"/>
    <hyperlink ref="G24" tooltip="Component" display="'Yageo"/>
    <hyperlink ref="G8" tooltip="Component" display="'Diodes"/>
    <hyperlink ref="G9" tooltip="Component" display="'Diodes"/>
    <hyperlink ref="L4" r:id="rId1"/>
    <hyperlink ref="L5" r:id="rId2"/>
    <hyperlink ref="L6" r:id="rId3"/>
    <hyperlink ref="L7" r:id="rId4"/>
    <hyperlink ref="L8" r:id="rId5"/>
    <hyperlink ref="L9" r:id="rId6"/>
    <hyperlink ref="L11" r:id="rId7"/>
    <hyperlink ref="L13" r:id="rId8"/>
    <hyperlink ref="L14" r:id="rId9"/>
    <hyperlink ref="L15" r:id="rId10"/>
    <hyperlink ref="L16" r:id="rId11"/>
    <hyperlink ref="L17" r:id="rId12"/>
    <hyperlink ref="L18" r:id="rId13"/>
    <hyperlink ref="L19" r:id="rId14"/>
    <hyperlink ref="L20" r:id="rId15"/>
    <hyperlink ref="L21" r:id="rId16"/>
    <hyperlink ref="L27" r:id="rId17"/>
    <hyperlink ref="L28" r:id="rId18"/>
    <hyperlink ref="L29" r:id="rId19"/>
    <hyperlink ref="L30" r:id="rId20"/>
    <hyperlink ref="L32" r:id="rId21"/>
    <hyperlink ref="L33" r:id="rId22"/>
    <hyperlink ref="L10" r:id="rId23"/>
    <hyperlink ref="L12" r:id="rId24"/>
    <hyperlink ref="L24" r:id="rId25"/>
    <hyperlink ref="L34" r:id="rId26"/>
    <hyperlink ref="L31" r:id="rId27"/>
    <hyperlink ref="L35" r:id="rId28"/>
    <hyperlink ref="L22" r:id="rId29"/>
    <hyperlink ref="L23" r:id="rId30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FRED_MIERING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Windows User</cp:lastModifiedBy>
  <dcterms:created xsi:type="dcterms:W3CDTF">2019-07-16T19:33:47Z</dcterms:created>
  <dcterms:modified xsi:type="dcterms:W3CDTF">2020-09-12T08:54:59Z</dcterms:modified>
</cp:coreProperties>
</file>